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40" windowHeight="11820" activeTab="2"/>
  </bookViews>
  <sheets>
    <sheet name="box_office" sheetId="1" r:id="rId1"/>
    <sheet name="Analysis" sheetId="2" r:id="rId2"/>
    <sheet name="Dashboard" sheetId="3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<sst xmlns="http://schemas.openxmlformats.org/spreadsheetml/2006/main" count="331" uniqueCount="102">
  <si>
    <t>film</t>
  </si>
  <si>
    <t>budget</t>
  </si>
  <si>
    <t>box_office_us_canada</t>
  </si>
  <si>
    <t>box_office_other</t>
  </si>
  <si>
    <t>box_office_worldwide</t>
  </si>
  <si>
    <t>net_revenue</t>
  </si>
  <si>
    <t>rotten_tomatoes_score</t>
  </si>
  <si>
    <t>rotten_tomatoes_counts</t>
  </si>
  <si>
    <t>metacritic_score</t>
  </si>
  <si>
    <t>metacritic_counts</t>
  </si>
  <si>
    <t>imdb_score</t>
  </si>
  <si>
    <t>imdb_counts</t>
  </si>
  <si>
    <t>role_type</t>
  </si>
  <si>
    <t>name</t>
  </si>
  <si>
    <t>release_date</t>
  </si>
  <si>
    <t>run_time(mins)</t>
  </si>
  <si>
    <t>film_rating</t>
  </si>
  <si>
    <t>cinema _score</t>
  </si>
  <si>
    <t>Toy Story</t>
  </si>
  <si>
    <t>Director</t>
  </si>
  <si>
    <t>John Lasseter</t>
  </si>
  <si>
    <t>G</t>
  </si>
  <si>
    <t>A</t>
  </si>
  <si>
    <t>A Bug's Life</t>
  </si>
  <si>
    <t>Toy Story 2</t>
  </si>
  <si>
    <t>A+</t>
  </si>
  <si>
    <t>Monsters, Inc.</t>
  </si>
  <si>
    <t>Pete Docter</t>
  </si>
  <si>
    <t>Finding Nemo</t>
  </si>
  <si>
    <t>Andrew Stanton</t>
  </si>
  <si>
    <t>The Incredibles</t>
  </si>
  <si>
    <t>Brad Bird</t>
  </si>
  <si>
    <t>PG</t>
  </si>
  <si>
    <t>Cars</t>
  </si>
  <si>
    <t>Ratatouille</t>
  </si>
  <si>
    <t>WALL-E</t>
  </si>
  <si>
    <t>Up</t>
  </si>
  <si>
    <t>Toy Story 3</t>
  </si>
  <si>
    <t>Lee Unkrich</t>
  </si>
  <si>
    <t>Cars 2</t>
  </si>
  <si>
    <t>A-</t>
  </si>
  <si>
    <t>Brave</t>
  </si>
  <si>
    <t>Mark Andrews</t>
  </si>
  <si>
    <t>Monsters University</t>
  </si>
  <si>
    <t>Dan Scanlon</t>
  </si>
  <si>
    <t>Inside Out</t>
  </si>
  <si>
    <t>The Good Dinosaur</t>
  </si>
  <si>
    <t>Peter Sohn</t>
  </si>
  <si>
    <t>Finding Dory</t>
  </si>
  <si>
    <t>Cars 3</t>
  </si>
  <si>
    <t>Brian Fee</t>
  </si>
  <si>
    <t>Coco</t>
  </si>
  <si>
    <t>Incredibles 2</t>
  </si>
  <si>
    <t>Toy Story 4</t>
  </si>
  <si>
    <t>Josh Cooley</t>
  </si>
  <si>
    <t>Onward</t>
  </si>
  <si>
    <t>Soul</t>
  </si>
  <si>
    <t>NA</t>
  </si>
  <si>
    <t>Luca</t>
  </si>
  <si>
    <t>N/A</t>
  </si>
  <si>
    <t>Jesse Andrews</t>
  </si>
  <si>
    <t>Turning Red</t>
  </si>
  <si>
    <t>Domee Shi</t>
  </si>
  <si>
    <t>Lightyear</t>
  </si>
  <si>
    <t>Angus MacLane</t>
  </si>
  <si>
    <t>Elemental</t>
  </si>
  <si>
    <t>Inside Out 2</t>
  </si>
  <si>
    <t>Kelsey Mann</t>
  </si>
  <si>
    <t>Film Budget</t>
  </si>
  <si>
    <t>Box Office Worldwide</t>
  </si>
  <si>
    <t>Sum of net_revenue</t>
  </si>
  <si>
    <t>IMBD Score</t>
  </si>
  <si>
    <t>Metacritic Score</t>
  </si>
  <si>
    <t>Rotten Tomatoe Score</t>
  </si>
  <si>
    <t>Sum of run_time(mins)</t>
  </si>
  <si>
    <t>Grand Total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</si>
  <si>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</si>
  <si>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</si>
  <si>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</si>
  <si>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</si>
  <si>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</si>
  <si>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</si>
  <si>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</si>
  <si>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</si>
  <si>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</si>
  <si>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</si>
  <si>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2013</t>
  </si>
  <si>
    <t>2012</t>
  </si>
  <si>
    <t>2011</t>
  </si>
  <si>
    <t>2010</t>
  </si>
  <si>
    <t>2009</t>
  </si>
  <si>
    <t>Imdb score</t>
  </si>
  <si>
    <t>metacritic score</t>
  </si>
  <si>
    <t>2008</t>
  </si>
  <si>
    <t>2007</t>
  </si>
  <si>
    <t>2006</t>
  </si>
  <si>
    <t>2004</t>
  </si>
  <si>
    <t>2003</t>
  </si>
  <si>
    <t>2001</t>
  </si>
  <si>
    <t>1999</t>
  </si>
  <si>
    <t>1998</t>
  </si>
  <si>
    <t>1995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</si>
</sst>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$-C09]#,##0;\-[$$-C09]#,##0"/>
    <numFmt numFmtId="177" formatCode="0_);[Red]\(0\)"/>
    <numFmt numFmtId="178" formatCode="0.0_);[Red]\(0.0\)"/>
    <numFmt numFmtId="179" formatCode="dd/mm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">
    <dxf>
      <numFmt numFmtId="176" formatCode="[$$-C09]#,##0;\-[$$-C09]#,##0"/>
    </dxf>
    <dxf>
      <numFmt numFmtId="176" formatCode="[$$-C09]#,##0;\-[$$-C09]#,##0"/>
    </dxf>
    <dxf>
      <numFmt numFmtId="176" formatCode="[$$-C09]#,##0;\-[$$-C09]#,##0"/>
    </dxf>
    <dxf>
      <numFmt numFmtId="176" formatCode="[$$-C09]#,##0;\-[$$-C09]#,##0"/>
    </dxf>
    <dxf>
      <numFmt numFmtId="176" formatCode="[$$-C09]#,##0;\-[$$-C09]#,##0"/>
    </dxf>
    <dxf>
      <numFmt numFmtId="177" formatCode="0_);[Red]\(0\)"/>
    </dxf>
    <dxf>
      <numFmt numFmtId="177" formatCode="0_);[Red]\(0\)"/>
    </dxf>
    <dxf>
      <numFmt numFmtId="177" formatCode="0_);[Red]\(0\)"/>
    </dxf>
    <dxf>
      <numFmt numFmtId="177" formatCode="0_);[Red]\(0\)"/>
    </dxf>
    <dxf>
      <numFmt numFmtId="177" formatCode="0_);[Red]\(0\)"/>
    </dxf>
    <dxf>
      <numFmt numFmtId="177" formatCode="0_);[Red]\(0\)"/>
    </dxf>
    <dxf>
      <numFmt numFmtId="179" formatCode="dd/mm/yyyy;@"/>
    </dxf>
    <dxf>
      <numFmt numFmtId="177" formatCode="0_);[Red]\(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 office.xlsx]Analysis!PivotTable2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box office WW and budget analysis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Analysis!$C$2</c:f>
              <c:strCache>
                <c:ptCount val="1"/>
                <c:pt idx="0">
                  <c:v>Film Budget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Analysis!$B$3:$B$31</c:f>
              <c:strCache>
                <c:ptCount val="28"/>
                <c:pt idx="0">
                  <c:v>A Bug's Life</c:v>
                </c:pt>
                <c:pt idx="1">
                  <c:v>Brave</c:v>
                </c:pt>
                <c:pt idx="2">
                  <c:v>Cars</c:v>
                </c:pt>
                <c:pt idx="3">
                  <c:v>Cars 2</c:v>
                </c:pt>
                <c:pt idx="4">
                  <c:v>Cars 3</c:v>
                </c:pt>
                <c:pt idx="5">
                  <c:v>Coco</c:v>
                </c:pt>
                <c:pt idx="6">
                  <c:v>Elemental</c:v>
                </c:pt>
                <c:pt idx="7">
                  <c:v>Finding Dory</c:v>
                </c:pt>
                <c:pt idx="8">
                  <c:v>Finding Nemo</c:v>
                </c:pt>
                <c:pt idx="9">
                  <c:v>Incredibles 2</c:v>
                </c:pt>
                <c:pt idx="10">
                  <c:v>Inside Out</c:v>
                </c:pt>
                <c:pt idx="11">
                  <c:v>Inside Out 2</c:v>
                </c:pt>
                <c:pt idx="12">
                  <c:v>Lightyear</c:v>
                </c:pt>
                <c:pt idx="13">
                  <c:v>Luca</c:v>
                </c:pt>
                <c:pt idx="14">
                  <c:v>Monsters University</c:v>
                </c:pt>
                <c:pt idx="15">
                  <c:v>Monsters, Inc.</c:v>
                </c:pt>
                <c:pt idx="16">
                  <c:v>Onward</c:v>
                </c:pt>
                <c:pt idx="17">
                  <c:v>Ratatouille</c:v>
                </c:pt>
                <c:pt idx="18">
                  <c:v>Soul</c:v>
                </c:pt>
                <c:pt idx="19">
                  <c:v>The Good Dinosaur</c:v>
                </c:pt>
                <c:pt idx="20">
                  <c:v>The Incredibles</c:v>
                </c:pt>
                <c:pt idx="21">
                  <c:v>Toy Story</c:v>
                </c:pt>
                <c:pt idx="22">
                  <c:v>Toy Story 2</c:v>
                </c:pt>
                <c:pt idx="23">
                  <c:v>Toy Story 3</c:v>
                </c:pt>
                <c:pt idx="24">
                  <c:v>Toy Story 4</c:v>
                </c:pt>
                <c:pt idx="25">
                  <c:v>Turning Red</c:v>
                </c:pt>
                <c:pt idx="26">
                  <c:v>Up</c:v>
                </c:pt>
                <c:pt idx="27">
                  <c:v>WALL-E</c:v>
                </c:pt>
              </c:strCache>
            </c:strRef>
          </c:cat>
          <c:val>
            <c:numRef>
              <c:f>Analysis!$C$3:$C$31</c:f>
              <c:numCache>
                <c:formatCode>[$$-C09]#,##0;\-[$$-C09]#,##0</c:formatCode>
                <c:ptCount val="28"/>
                <c:pt idx="0">
                  <c:v>120000000</c:v>
                </c:pt>
                <c:pt idx="1">
                  <c:v>185000000</c:v>
                </c:pt>
                <c:pt idx="2">
                  <c:v>120000000</c:v>
                </c:pt>
                <c:pt idx="3">
                  <c:v>200000000</c:v>
                </c:pt>
                <c:pt idx="4">
                  <c:v>175000000</c:v>
                </c:pt>
                <c:pt idx="5">
                  <c:v>175000000</c:v>
                </c:pt>
                <c:pt idx="6">
                  <c:v>200000000</c:v>
                </c:pt>
                <c:pt idx="7">
                  <c:v>200000000</c:v>
                </c:pt>
                <c:pt idx="8">
                  <c:v>94000000</c:v>
                </c:pt>
                <c:pt idx="9">
                  <c:v>200000000</c:v>
                </c:pt>
                <c:pt idx="10">
                  <c:v>175000000</c:v>
                </c:pt>
                <c:pt idx="11">
                  <c:v>200000000</c:v>
                </c:pt>
                <c:pt idx="12">
                  <c:v>200000000</c:v>
                </c:pt>
                <c:pt idx="13">
                  <c:v>0</c:v>
                </c:pt>
                <c:pt idx="14">
                  <c:v>200000000</c:v>
                </c:pt>
                <c:pt idx="15">
                  <c:v>115000000</c:v>
                </c:pt>
                <c:pt idx="16">
                  <c:v>175000000</c:v>
                </c:pt>
                <c:pt idx="17">
                  <c:v>150000000</c:v>
                </c:pt>
                <c:pt idx="18">
                  <c:v>150000000</c:v>
                </c:pt>
                <c:pt idx="19">
                  <c:v>175000000</c:v>
                </c:pt>
                <c:pt idx="20">
                  <c:v>92000000</c:v>
                </c:pt>
                <c:pt idx="21">
                  <c:v>30000000</c:v>
                </c:pt>
                <c:pt idx="22">
                  <c:v>90000000</c:v>
                </c:pt>
                <c:pt idx="23">
                  <c:v>200000000</c:v>
                </c:pt>
                <c:pt idx="24">
                  <c:v>200000000</c:v>
                </c:pt>
                <c:pt idx="25">
                  <c:v>175000000</c:v>
                </c:pt>
                <c:pt idx="26">
                  <c:v>175000000</c:v>
                </c:pt>
                <c:pt idx="27">
                  <c:v>180000000</c:v>
                </c:pt>
              </c:numCache>
            </c:numRef>
          </c:val>
        </c:ser>
        <c:ser>
          <c:idx val="1"/>
          <c:order val="1"/>
          <c:tx>
            <c:strRef>
              <c:f>Analysis!$D$2</c:f>
              <c:strCache>
                <c:ptCount val="1"/>
                <c:pt idx="0">
                  <c:v>Box Office Worldwide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  <a:sp3d contourW="19050"/>
          </c:spPr>
          <c:invertIfNegative val="0"/>
          <c:dLbls>
            <c:delete val="1"/>
          </c:dLbls>
          <c:cat>
            <c:strRef>
              <c:f>Analysis!$B$3:$B$31</c:f>
              <c:strCache>
                <c:ptCount val="28"/>
                <c:pt idx="0">
                  <c:v>A Bug's Life</c:v>
                </c:pt>
                <c:pt idx="1">
                  <c:v>Brave</c:v>
                </c:pt>
                <c:pt idx="2">
                  <c:v>Cars</c:v>
                </c:pt>
                <c:pt idx="3">
                  <c:v>Cars 2</c:v>
                </c:pt>
                <c:pt idx="4">
                  <c:v>Cars 3</c:v>
                </c:pt>
                <c:pt idx="5">
                  <c:v>Coco</c:v>
                </c:pt>
                <c:pt idx="6">
                  <c:v>Elemental</c:v>
                </c:pt>
                <c:pt idx="7">
                  <c:v>Finding Dory</c:v>
                </c:pt>
                <c:pt idx="8">
                  <c:v>Finding Nemo</c:v>
                </c:pt>
                <c:pt idx="9">
                  <c:v>Incredibles 2</c:v>
                </c:pt>
                <c:pt idx="10">
                  <c:v>Inside Out</c:v>
                </c:pt>
                <c:pt idx="11">
                  <c:v>Inside Out 2</c:v>
                </c:pt>
                <c:pt idx="12">
                  <c:v>Lightyear</c:v>
                </c:pt>
                <c:pt idx="13">
                  <c:v>Luca</c:v>
                </c:pt>
                <c:pt idx="14">
                  <c:v>Monsters University</c:v>
                </c:pt>
                <c:pt idx="15">
                  <c:v>Monsters, Inc.</c:v>
                </c:pt>
                <c:pt idx="16">
                  <c:v>Onward</c:v>
                </c:pt>
                <c:pt idx="17">
                  <c:v>Ratatouille</c:v>
                </c:pt>
                <c:pt idx="18">
                  <c:v>Soul</c:v>
                </c:pt>
                <c:pt idx="19">
                  <c:v>The Good Dinosaur</c:v>
                </c:pt>
                <c:pt idx="20">
                  <c:v>The Incredibles</c:v>
                </c:pt>
                <c:pt idx="21">
                  <c:v>Toy Story</c:v>
                </c:pt>
                <c:pt idx="22">
                  <c:v>Toy Story 2</c:v>
                </c:pt>
                <c:pt idx="23">
                  <c:v>Toy Story 3</c:v>
                </c:pt>
                <c:pt idx="24">
                  <c:v>Toy Story 4</c:v>
                </c:pt>
                <c:pt idx="25">
                  <c:v>Turning Red</c:v>
                </c:pt>
                <c:pt idx="26">
                  <c:v>Up</c:v>
                </c:pt>
                <c:pt idx="27">
                  <c:v>WALL-E</c:v>
                </c:pt>
              </c:strCache>
            </c:strRef>
          </c:cat>
          <c:val>
            <c:numRef>
              <c:f>Analysis!$D$3:$D$31</c:f>
              <c:numCache>
                <c:formatCode>[$$-C09]#,##0;\-[$$-C09]#,##0</c:formatCode>
                <c:ptCount val="28"/>
                <c:pt idx="0">
                  <c:v>363258859</c:v>
                </c:pt>
                <c:pt idx="1">
                  <c:v>538983207</c:v>
                </c:pt>
                <c:pt idx="2">
                  <c:v>461983149</c:v>
                </c:pt>
                <c:pt idx="3">
                  <c:v>559852396</c:v>
                </c:pt>
                <c:pt idx="4">
                  <c:v>383930656</c:v>
                </c:pt>
                <c:pt idx="5">
                  <c:v>814641172</c:v>
                </c:pt>
                <c:pt idx="6">
                  <c:v>496444308</c:v>
                </c:pt>
                <c:pt idx="7">
                  <c:v>1028570889</c:v>
                </c:pt>
                <c:pt idx="8">
                  <c:v>871014978</c:v>
                </c:pt>
                <c:pt idx="9">
                  <c:v>1242805359</c:v>
                </c:pt>
                <c:pt idx="10">
                  <c:v>857611174</c:v>
                </c:pt>
                <c:pt idx="11">
                  <c:v>1698030965</c:v>
                </c:pt>
                <c:pt idx="12">
                  <c:v>226425420</c:v>
                </c:pt>
                <c:pt idx="13">
                  <c:v>51112314</c:v>
                </c:pt>
                <c:pt idx="14">
                  <c:v>743559607</c:v>
                </c:pt>
                <c:pt idx="15">
                  <c:v>528773250</c:v>
                </c:pt>
                <c:pt idx="16">
                  <c:v>141940042</c:v>
                </c:pt>
                <c:pt idx="17">
                  <c:v>623726085</c:v>
                </c:pt>
                <c:pt idx="18">
                  <c:v>121903885</c:v>
                </c:pt>
                <c:pt idx="19">
                  <c:v>332207671</c:v>
                </c:pt>
                <c:pt idx="20">
                  <c:v>631442092</c:v>
                </c:pt>
                <c:pt idx="21">
                  <c:v>394436586</c:v>
                </c:pt>
                <c:pt idx="22">
                  <c:v>511358276</c:v>
                </c:pt>
                <c:pt idx="23">
                  <c:v>1066969703</c:v>
                </c:pt>
                <c:pt idx="24">
                  <c:v>1073394593</c:v>
                </c:pt>
                <c:pt idx="25">
                  <c:v>21813358</c:v>
                </c:pt>
                <c:pt idx="26">
                  <c:v>735099082</c:v>
                </c:pt>
                <c:pt idx="27">
                  <c:v>521311860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873350"/>
        <c:axId val="118708773"/>
      </c:barChart>
      <c:catAx>
        <c:axId val="88687335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8708773"/>
        <c:crosses val="autoZero"/>
        <c:auto val="1"/>
        <c:lblAlgn val="ctr"/>
        <c:lblOffset val="100"/>
        <c:noMultiLvlLbl val="0"/>
      </c:catAx>
      <c:valAx>
        <c:axId val="1187087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;\-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68733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 office.xlsx]Analysis!PivotTable3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Directors net profit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Analysis!$F$4:$F$18</c:f>
              <c:strCache>
                <c:ptCount val="14"/>
                <c:pt idx="0">
                  <c:v>Brad Bird</c:v>
                </c:pt>
                <c:pt idx="1">
                  <c:v>Andrew Stanton</c:v>
                </c:pt>
                <c:pt idx="2">
                  <c:v>John Lasseter</c:v>
                </c:pt>
                <c:pt idx="3">
                  <c:v>Pete Docter</c:v>
                </c:pt>
                <c:pt idx="4">
                  <c:v>Lee Unkrich</c:v>
                </c:pt>
                <c:pt idx="5">
                  <c:v>Kelsey Mann</c:v>
                </c:pt>
                <c:pt idx="6">
                  <c:v>Josh Cooley</c:v>
                </c:pt>
                <c:pt idx="7">
                  <c:v>Dan Scanlon</c:v>
                </c:pt>
                <c:pt idx="8">
                  <c:v>Peter Sohn</c:v>
                </c:pt>
                <c:pt idx="9">
                  <c:v>Mark Andrews</c:v>
                </c:pt>
                <c:pt idx="10">
                  <c:v>Brian Fee</c:v>
                </c:pt>
                <c:pt idx="11">
                  <c:v>Angus MacLane</c:v>
                </c:pt>
                <c:pt idx="12">
                  <c:v>Jesse Andrews</c:v>
                </c:pt>
                <c:pt idx="13">
                  <c:v>Domee Shi</c:v>
                </c:pt>
              </c:strCache>
            </c:strRef>
          </c:cat>
          <c:val>
            <c:numRef>
              <c:f>Analysis!$G$4:$G$18</c:f>
              <c:numCache>
                <c:formatCode>[$$-C09]#,##0;\-[$$-C09]#,##0</c:formatCode>
                <c:ptCount val="14"/>
                <c:pt idx="0">
                  <c:v>2055973536</c:v>
                </c:pt>
                <c:pt idx="1">
                  <c:v>1946897727</c:v>
                </c:pt>
                <c:pt idx="2">
                  <c:v>1730889266</c:v>
                </c:pt>
                <c:pt idx="3">
                  <c:v>1628387391</c:v>
                </c:pt>
                <c:pt idx="4">
                  <c:v>1506610875</c:v>
                </c:pt>
                <c:pt idx="5">
                  <c:v>1498030965</c:v>
                </c:pt>
                <c:pt idx="6">
                  <c:v>873394593</c:v>
                </c:pt>
                <c:pt idx="7">
                  <c:v>510499649</c:v>
                </c:pt>
                <c:pt idx="8">
                  <c:v>453651979</c:v>
                </c:pt>
                <c:pt idx="9">
                  <c:v>353983207</c:v>
                </c:pt>
                <c:pt idx="10">
                  <c:v>208930656</c:v>
                </c:pt>
                <c:pt idx="11">
                  <c:v>26425420</c:v>
                </c:pt>
                <c:pt idx="12">
                  <c:v>0</c:v>
                </c:pt>
                <c:pt idx="13">
                  <c:v>-153186642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718762260"/>
        <c:axId val="998695097"/>
      </c:barChart>
      <c:catAx>
        <c:axId val="71876226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8695097"/>
        <c:crosses val="autoZero"/>
        <c:auto val="1"/>
        <c:lblAlgn val="ctr"/>
        <c:lblOffset val="100"/>
        <c:noMultiLvlLbl val="0"/>
      </c:catAx>
      <c:valAx>
        <c:axId val="998695097"/>
        <c:scaling>
          <c:orientation val="minMax"/>
        </c:scaling>
        <c:delete val="0"/>
        <c:axPos val="l"/>
        <c:numFmt formatCode="[$$-C09]#,##0;\-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7622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 office.xlsx]Analysis!PivotTable4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Yearly Revenue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Analysis!$G$20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dash"/>
            <c:size val="7"/>
            <c:spPr>
              <a:solidFill>
                <a:schemeClr val="accent2">
                  <a:lumMod val="50000"/>
                </a:schemeClr>
              </a:solidFill>
              <a:ln w="9525" cap="flat" cmpd="sng">
                <a:solidFill>
                  <a:schemeClr val="accent2">
                    <a:lumMod val="50000"/>
                  </a:schemeClr>
                </a:solidFill>
                <a:prstDash val="solid"/>
                <a:headEnd type="none"/>
                <a:tailEnd type="none"/>
              </a:ln>
              <a:effectLst/>
            </c:spPr>
          </c:marker>
          <c:dLbls>
            <c:delete val="1"/>
          </c:dLbls>
          <c:cat>
            <c:strRef>
              <c:f>Analysis!$F$21:$F$45</c:f>
              <c:strCache>
                <c:ptCount val="24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  <c:pt idx="10">
                  <c:v>2013</c:v>
                </c:pt>
                <c:pt idx="11">
                  <c:v>2012</c:v>
                </c:pt>
                <c:pt idx="12">
                  <c:v>2011</c:v>
                </c:pt>
                <c:pt idx="13">
                  <c:v>2010</c:v>
                </c:pt>
                <c:pt idx="14">
                  <c:v>2009</c:v>
                </c:pt>
                <c:pt idx="15">
                  <c:v>2008</c:v>
                </c:pt>
                <c:pt idx="16">
                  <c:v>2007</c:v>
                </c:pt>
                <c:pt idx="17">
                  <c:v>2006</c:v>
                </c:pt>
                <c:pt idx="18">
                  <c:v>2004</c:v>
                </c:pt>
                <c:pt idx="19">
                  <c:v>2003</c:v>
                </c:pt>
                <c:pt idx="20">
                  <c:v>2001</c:v>
                </c:pt>
                <c:pt idx="21">
                  <c:v>1999</c:v>
                </c:pt>
                <c:pt idx="22">
                  <c:v>1998</c:v>
                </c:pt>
                <c:pt idx="23">
                  <c:v>1995</c:v>
                </c:pt>
              </c:strCache>
            </c:strRef>
          </c:cat>
          <c:val>
            <c:numRef>
              <c:f>Analysis!$G$21:$G$45</c:f>
              <c:numCache>
                <c:formatCode>[$$-C09]#,##0;\-[$$-C09]#,##0</c:formatCode>
                <c:ptCount val="24"/>
                <c:pt idx="0">
                  <c:v>1498030965</c:v>
                </c:pt>
                <c:pt idx="1">
                  <c:v>296444308</c:v>
                </c:pt>
                <c:pt idx="2">
                  <c:v>-126761222</c:v>
                </c:pt>
                <c:pt idx="3">
                  <c:v>0</c:v>
                </c:pt>
                <c:pt idx="4">
                  <c:v>-61156073</c:v>
                </c:pt>
                <c:pt idx="5">
                  <c:v>873394593</c:v>
                </c:pt>
                <c:pt idx="6">
                  <c:v>1042805359</c:v>
                </c:pt>
                <c:pt idx="7">
                  <c:v>848571828</c:v>
                </c:pt>
                <c:pt idx="8">
                  <c:v>828570889</c:v>
                </c:pt>
                <c:pt idx="9">
                  <c:v>839818845</c:v>
                </c:pt>
                <c:pt idx="10">
                  <c:v>543559607</c:v>
                </c:pt>
                <c:pt idx="11">
                  <c:v>353983207</c:v>
                </c:pt>
                <c:pt idx="12">
                  <c:v>359852396</c:v>
                </c:pt>
                <c:pt idx="13">
                  <c:v>866969703</c:v>
                </c:pt>
                <c:pt idx="14">
                  <c:v>560099082</c:v>
                </c:pt>
                <c:pt idx="15">
                  <c:v>341311860</c:v>
                </c:pt>
                <c:pt idx="16">
                  <c:v>473726085</c:v>
                </c:pt>
                <c:pt idx="17">
                  <c:v>341983149</c:v>
                </c:pt>
                <c:pt idx="18">
                  <c:v>539442092</c:v>
                </c:pt>
                <c:pt idx="19">
                  <c:v>777014978</c:v>
                </c:pt>
                <c:pt idx="20">
                  <c:v>413773250</c:v>
                </c:pt>
                <c:pt idx="21">
                  <c:v>421358276</c:v>
                </c:pt>
                <c:pt idx="22">
                  <c:v>243258859</c:v>
                </c:pt>
                <c:pt idx="23">
                  <c:v>364436586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777259"/>
        <c:axId val="853622192"/>
      </c:lineChart>
      <c:catAx>
        <c:axId val="847777259"/>
        <c:scaling>
          <c:orientation val="minMax"/>
        </c:scaling>
        <c:delete val="0"/>
        <c:axPos val="b"/>
        <c:majorTickMark val="none"/>
        <c:minorTickMark val="cross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3622192"/>
        <c:crosses val="autoZero"/>
        <c:auto val="1"/>
        <c:lblAlgn val="ctr"/>
        <c:lblOffset val="100"/>
        <c:noMultiLvlLbl val="0"/>
      </c:catAx>
      <c:valAx>
        <c:axId val="853622192"/>
        <c:scaling>
          <c:orientation val="minMax"/>
        </c:scaling>
        <c:delete val="0"/>
        <c:axPos val="l"/>
        <c:numFmt formatCode="[$$-C09]#,##0;\-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77772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 office.xlsx]Analysis!PivotTable6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Analysis!$J$3</c:f>
              <c:strCache>
                <c:ptCount val="1"/>
                <c:pt idx="0">
                  <c:v>IMBD Score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Analysis!$I$4:$I$32</c:f>
              <c:strCache>
                <c:ptCount val="28"/>
                <c:pt idx="0">
                  <c:v>A Bug's Life</c:v>
                </c:pt>
                <c:pt idx="1">
                  <c:v>Brave</c:v>
                </c:pt>
                <c:pt idx="2">
                  <c:v>Cars</c:v>
                </c:pt>
                <c:pt idx="3">
                  <c:v>Cars 2</c:v>
                </c:pt>
                <c:pt idx="4">
                  <c:v>Cars 3</c:v>
                </c:pt>
                <c:pt idx="5">
                  <c:v>Coco</c:v>
                </c:pt>
                <c:pt idx="6">
                  <c:v>Elemental</c:v>
                </c:pt>
                <c:pt idx="7">
                  <c:v>Finding Dory</c:v>
                </c:pt>
                <c:pt idx="8">
                  <c:v>Finding Nemo</c:v>
                </c:pt>
                <c:pt idx="9">
                  <c:v>Incredibles 2</c:v>
                </c:pt>
                <c:pt idx="10">
                  <c:v>Inside Out</c:v>
                </c:pt>
                <c:pt idx="11">
                  <c:v>Inside Out 2</c:v>
                </c:pt>
                <c:pt idx="12">
                  <c:v>Lightyear</c:v>
                </c:pt>
                <c:pt idx="13">
                  <c:v>Luca</c:v>
                </c:pt>
                <c:pt idx="14">
                  <c:v>Monsters University</c:v>
                </c:pt>
                <c:pt idx="15">
                  <c:v>Monsters, Inc.</c:v>
                </c:pt>
                <c:pt idx="16">
                  <c:v>Onward</c:v>
                </c:pt>
                <c:pt idx="17">
                  <c:v>Ratatouille</c:v>
                </c:pt>
                <c:pt idx="18">
                  <c:v>Soul</c:v>
                </c:pt>
                <c:pt idx="19">
                  <c:v>The Good Dinosaur</c:v>
                </c:pt>
                <c:pt idx="20">
                  <c:v>The Incredibles</c:v>
                </c:pt>
                <c:pt idx="21">
                  <c:v>Toy Story</c:v>
                </c:pt>
                <c:pt idx="22">
                  <c:v>Toy Story 2</c:v>
                </c:pt>
                <c:pt idx="23">
                  <c:v>Toy Story 3</c:v>
                </c:pt>
                <c:pt idx="24">
                  <c:v>Toy Story 4</c:v>
                </c:pt>
                <c:pt idx="25">
                  <c:v>Turning Red</c:v>
                </c:pt>
                <c:pt idx="26">
                  <c:v>Up</c:v>
                </c:pt>
                <c:pt idx="27">
                  <c:v>WALL-E</c:v>
                </c:pt>
              </c:strCache>
            </c:strRef>
          </c:cat>
          <c:val>
            <c:numRef>
              <c:f>Analysis!$J$4:$J$32</c:f>
              <c:numCache>
                <c:formatCode>General</c:formatCode>
                <c:ptCount val="28"/>
                <c:pt idx="0">
                  <c:v>72</c:v>
                </c:pt>
                <c:pt idx="1">
                  <c:v>71</c:v>
                </c:pt>
                <c:pt idx="2">
                  <c:v>72</c:v>
                </c:pt>
                <c:pt idx="3">
                  <c:v>62</c:v>
                </c:pt>
                <c:pt idx="4">
                  <c:v>67</c:v>
                </c:pt>
                <c:pt idx="5">
                  <c:v>84</c:v>
                </c:pt>
                <c:pt idx="6">
                  <c:v>70</c:v>
                </c:pt>
                <c:pt idx="7">
                  <c:v>72</c:v>
                </c:pt>
                <c:pt idx="8">
                  <c:v>82</c:v>
                </c:pt>
                <c:pt idx="9">
                  <c:v>75</c:v>
                </c:pt>
                <c:pt idx="10">
                  <c:v>81</c:v>
                </c:pt>
                <c:pt idx="11">
                  <c:v>76</c:v>
                </c:pt>
                <c:pt idx="12">
                  <c:v>61</c:v>
                </c:pt>
                <c:pt idx="13">
                  <c:v>74</c:v>
                </c:pt>
                <c:pt idx="14">
                  <c:v>72</c:v>
                </c:pt>
                <c:pt idx="15">
                  <c:v>81</c:v>
                </c:pt>
                <c:pt idx="16">
                  <c:v>74</c:v>
                </c:pt>
                <c:pt idx="17">
                  <c:v>81</c:v>
                </c:pt>
                <c:pt idx="18">
                  <c:v>80</c:v>
                </c:pt>
                <c:pt idx="19">
                  <c:v>67</c:v>
                </c:pt>
                <c:pt idx="20">
                  <c:v>80</c:v>
                </c:pt>
                <c:pt idx="21">
                  <c:v>83</c:v>
                </c:pt>
                <c:pt idx="22">
                  <c:v>79</c:v>
                </c:pt>
                <c:pt idx="23">
                  <c:v>83</c:v>
                </c:pt>
                <c:pt idx="24">
                  <c:v>76</c:v>
                </c:pt>
                <c:pt idx="25">
                  <c:v>70</c:v>
                </c:pt>
                <c:pt idx="26">
                  <c:v>83</c:v>
                </c:pt>
                <c:pt idx="27">
                  <c:v>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Analysis!$K$3</c:f>
              <c:strCache>
                <c:ptCount val="1"/>
                <c:pt idx="0">
                  <c:v>Metacritic Score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Analysis!$I$4:$I$32</c:f>
              <c:strCache>
                <c:ptCount val="28"/>
                <c:pt idx="0">
                  <c:v>A Bug's Life</c:v>
                </c:pt>
                <c:pt idx="1">
                  <c:v>Brave</c:v>
                </c:pt>
                <c:pt idx="2">
                  <c:v>Cars</c:v>
                </c:pt>
                <c:pt idx="3">
                  <c:v>Cars 2</c:v>
                </c:pt>
                <c:pt idx="4">
                  <c:v>Cars 3</c:v>
                </c:pt>
                <c:pt idx="5">
                  <c:v>Coco</c:v>
                </c:pt>
                <c:pt idx="6">
                  <c:v>Elemental</c:v>
                </c:pt>
                <c:pt idx="7">
                  <c:v>Finding Dory</c:v>
                </c:pt>
                <c:pt idx="8">
                  <c:v>Finding Nemo</c:v>
                </c:pt>
                <c:pt idx="9">
                  <c:v>Incredibles 2</c:v>
                </c:pt>
                <c:pt idx="10">
                  <c:v>Inside Out</c:v>
                </c:pt>
                <c:pt idx="11">
                  <c:v>Inside Out 2</c:v>
                </c:pt>
                <c:pt idx="12">
                  <c:v>Lightyear</c:v>
                </c:pt>
                <c:pt idx="13">
                  <c:v>Luca</c:v>
                </c:pt>
                <c:pt idx="14">
                  <c:v>Monsters University</c:v>
                </c:pt>
                <c:pt idx="15">
                  <c:v>Monsters, Inc.</c:v>
                </c:pt>
                <c:pt idx="16">
                  <c:v>Onward</c:v>
                </c:pt>
                <c:pt idx="17">
                  <c:v>Ratatouille</c:v>
                </c:pt>
                <c:pt idx="18">
                  <c:v>Soul</c:v>
                </c:pt>
                <c:pt idx="19">
                  <c:v>The Good Dinosaur</c:v>
                </c:pt>
                <c:pt idx="20">
                  <c:v>The Incredibles</c:v>
                </c:pt>
                <c:pt idx="21">
                  <c:v>Toy Story</c:v>
                </c:pt>
                <c:pt idx="22">
                  <c:v>Toy Story 2</c:v>
                </c:pt>
                <c:pt idx="23">
                  <c:v>Toy Story 3</c:v>
                </c:pt>
                <c:pt idx="24">
                  <c:v>Toy Story 4</c:v>
                </c:pt>
                <c:pt idx="25">
                  <c:v>Turning Red</c:v>
                </c:pt>
                <c:pt idx="26">
                  <c:v>Up</c:v>
                </c:pt>
                <c:pt idx="27">
                  <c:v>WALL-E</c:v>
                </c:pt>
              </c:strCache>
            </c:strRef>
          </c:cat>
          <c:val>
            <c:numRef>
              <c:f>Analysis!$K$4:$K$32</c:f>
              <c:numCache>
                <c:formatCode>General</c:formatCode>
                <c:ptCount val="28"/>
                <c:pt idx="0">
                  <c:v>78</c:v>
                </c:pt>
                <c:pt idx="1">
                  <c:v>69</c:v>
                </c:pt>
                <c:pt idx="2">
                  <c:v>73</c:v>
                </c:pt>
                <c:pt idx="3">
                  <c:v>57</c:v>
                </c:pt>
                <c:pt idx="4">
                  <c:v>59</c:v>
                </c:pt>
                <c:pt idx="5">
                  <c:v>81</c:v>
                </c:pt>
                <c:pt idx="6">
                  <c:v>58</c:v>
                </c:pt>
                <c:pt idx="7">
                  <c:v>77</c:v>
                </c:pt>
                <c:pt idx="8">
                  <c:v>90</c:v>
                </c:pt>
                <c:pt idx="9">
                  <c:v>80</c:v>
                </c:pt>
                <c:pt idx="10">
                  <c:v>94</c:v>
                </c:pt>
                <c:pt idx="11">
                  <c:v>73</c:v>
                </c:pt>
                <c:pt idx="12">
                  <c:v>60</c:v>
                </c:pt>
                <c:pt idx="13">
                  <c:v>71</c:v>
                </c:pt>
                <c:pt idx="14">
                  <c:v>65</c:v>
                </c:pt>
                <c:pt idx="15">
                  <c:v>79</c:v>
                </c:pt>
                <c:pt idx="16">
                  <c:v>64</c:v>
                </c:pt>
                <c:pt idx="17">
                  <c:v>96</c:v>
                </c:pt>
                <c:pt idx="18">
                  <c:v>83</c:v>
                </c:pt>
                <c:pt idx="19">
                  <c:v>66</c:v>
                </c:pt>
                <c:pt idx="20">
                  <c:v>90</c:v>
                </c:pt>
                <c:pt idx="21">
                  <c:v>95</c:v>
                </c:pt>
                <c:pt idx="22">
                  <c:v>88</c:v>
                </c:pt>
                <c:pt idx="23">
                  <c:v>92</c:v>
                </c:pt>
                <c:pt idx="24">
                  <c:v>84</c:v>
                </c:pt>
                <c:pt idx="25">
                  <c:v>83</c:v>
                </c:pt>
                <c:pt idx="26">
                  <c:v>88</c:v>
                </c:pt>
                <c:pt idx="27">
                  <c:v>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Analysis!$L$3</c:f>
              <c:strCache>
                <c:ptCount val="1"/>
                <c:pt idx="0">
                  <c:v>Rotten Tomatoe Score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Analysis!$I$4:$I$32</c:f>
              <c:strCache>
                <c:ptCount val="28"/>
                <c:pt idx="0">
                  <c:v>A Bug's Life</c:v>
                </c:pt>
                <c:pt idx="1">
                  <c:v>Brave</c:v>
                </c:pt>
                <c:pt idx="2">
                  <c:v>Cars</c:v>
                </c:pt>
                <c:pt idx="3">
                  <c:v>Cars 2</c:v>
                </c:pt>
                <c:pt idx="4">
                  <c:v>Cars 3</c:v>
                </c:pt>
                <c:pt idx="5">
                  <c:v>Coco</c:v>
                </c:pt>
                <c:pt idx="6">
                  <c:v>Elemental</c:v>
                </c:pt>
                <c:pt idx="7">
                  <c:v>Finding Dory</c:v>
                </c:pt>
                <c:pt idx="8">
                  <c:v>Finding Nemo</c:v>
                </c:pt>
                <c:pt idx="9">
                  <c:v>Incredibles 2</c:v>
                </c:pt>
                <c:pt idx="10">
                  <c:v>Inside Out</c:v>
                </c:pt>
                <c:pt idx="11">
                  <c:v>Inside Out 2</c:v>
                </c:pt>
                <c:pt idx="12">
                  <c:v>Lightyear</c:v>
                </c:pt>
                <c:pt idx="13">
                  <c:v>Luca</c:v>
                </c:pt>
                <c:pt idx="14">
                  <c:v>Monsters University</c:v>
                </c:pt>
                <c:pt idx="15">
                  <c:v>Monsters, Inc.</c:v>
                </c:pt>
                <c:pt idx="16">
                  <c:v>Onward</c:v>
                </c:pt>
                <c:pt idx="17">
                  <c:v>Ratatouille</c:v>
                </c:pt>
                <c:pt idx="18">
                  <c:v>Soul</c:v>
                </c:pt>
                <c:pt idx="19">
                  <c:v>The Good Dinosaur</c:v>
                </c:pt>
                <c:pt idx="20">
                  <c:v>The Incredibles</c:v>
                </c:pt>
                <c:pt idx="21">
                  <c:v>Toy Story</c:v>
                </c:pt>
                <c:pt idx="22">
                  <c:v>Toy Story 2</c:v>
                </c:pt>
                <c:pt idx="23">
                  <c:v>Toy Story 3</c:v>
                </c:pt>
                <c:pt idx="24">
                  <c:v>Toy Story 4</c:v>
                </c:pt>
                <c:pt idx="25">
                  <c:v>Turning Red</c:v>
                </c:pt>
                <c:pt idx="26">
                  <c:v>Up</c:v>
                </c:pt>
                <c:pt idx="27">
                  <c:v>WALL-E</c:v>
                </c:pt>
              </c:strCache>
            </c:strRef>
          </c:cat>
          <c:val>
            <c:numRef>
              <c:f>Analysis!$L$4:$L$32</c:f>
              <c:numCache>
                <c:formatCode>General</c:formatCode>
                <c:ptCount val="28"/>
                <c:pt idx="0">
                  <c:v>92</c:v>
                </c:pt>
                <c:pt idx="1">
                  <c:v>79</c:v>
                </c:pt>
                <c:pt idx="2">
                  <c:v>75</c:v>
                </c:pt>
                <c:pt idx="3">
                  <c:v>40</c:v>
                </c:pt>
                <c:pt idx="4">
                  <c:v>69</c:v>
                </c:pt>
                <c:pt idx="5">
                  <c:v>97</c:v>
                </c:pt>
                <c:pt idx="6">
                  <c:v>73</c:v>
                </c:pt>
                <c:pt idx="7">
                  <c:v>94</c:v>
                </c:pt>
                <c:pt idx="8">
                  <c:v>99</c:v>
                </c:pt>
                <c:pt idx="9">
                  <c:v>93</c:v>
                </c:pt>
                <c:pt idx="10">
                  <c:v>98</c:v>
                </c:pt>
                <c:pt idx="11">
                  <c:v>90</c:v>
                </c:pt>
                <c:pt idx="12">
                  <c:v>74</c:v>
                </c:pt>
                <c:pt idx="13">
                  <c:v>91</c:v>
                </c:pt>
                <c:pt idx="14">
                  <c:v>80</c:v>
                </c:pt>
                <c:pt idx="15">
                  <c:v>96</c:v>
                </c:pt>
                <c:pt idx="16">
                  <c:v>88</c:v>
                </c:pt>
                <c:pt idx="17">
                  <c:v>96</c:v>
                </c:pt>
                <c:pt idx="18">
                  <c:v>95</c:v>
                </c:pt>
                <c:pt idx="19">
                  <c:v>75</c:v>
                </c:pt>
                <c:pt idx="20">
                  <c:v>97</c:v>
                </c:pt>
                <c:pt idx="21">
                  <c:v>100</c:v>
                </c:pt>
                <c:pt idx="22">
                  <c:v>100</c:v>
                </c:pt>
                <c:pt idx="23">
                  <c:v>98</c:v>
                </c:pt>
                <c:pt idx="24">
                  <c:v>97</c:v>
                </c:pt>
                <c:pt idx="25">
                  <c:v>95</c:v>
                </c:pt>
                <c:pt idx="26">
                  <c:v>98</c:v>
                </c:pt>
                <c:pt idx="27">
                  <c:v>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69999235"/>
        <c:axId val="296859792"/>
      </c:lineChart>
      <c:catAx>
        <c:axId val="7699992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6859792"/>
        <c:crosses val="autoZero"/>
        <c:auto val="1"/>
        <c:lblAlgn val="ctr"/>
        <c:lblOffset val="100"/>
        <c:noMultiLvlLbl val="0"/>
      </c:catAx>
      <c:valAx>
        <c:axId val="29685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99992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 office.xlsx]Analysis!PivotTable7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film cinema rating scores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Analysis!$K$35</c:f>
              <c:strCache>
                <c:ptCount val="1"/>
                <c:pt idx="0">
                  <c:v>Imdb score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Analysis!$I$36:$J$45</c:f>
              <c:multiLvlStrCache>
                <c:ptCount val="7"/>
                <c:lvl>
                  <c:pt idx="0">
                    <c:v>A</c:v>
                  </c:pt>
                  <c:pt idx="1">
                    <c:v>A+</c:v>
                  </c:pt>
                  <c:pt idx="2">
                    <c:v>A-</c:v>
                  </c:pt>
                  <c:pt idx="3">
                    <c:v>A</c:v>
                  </c:pt>
                  <c:pt idx="4">
                    <c:v>A+</c:v>
                  </c:pt>
                  <c:pt idx="5">
                    <c:v>A-</c:v>
                  </c:pt>
                  <c:pt idx="6">
                    <c:v>NA</c:v>
                  </c:pt>
                </c:lvl>
                <c:lvl>
                  <c:pt idx="0">
                    <c:v>G</c:v>
                  </c:pt>
                  <c:pt idx="3">
                    <c:v>PG</c:v>
                  </c:pt>
                </c:lvl>
              </c:multiLvlStrCache>
            </c:multiLvlStrRef>
          </c:cat>
          <c:val>
            <c:numRef>
              <c:f>Analysis!$K$36:$K$45</c:f>
              <c:numCache>
                <c:formatCode>General</c:formatCode>
                <c:ptCount val="7"/>
                <c:pt idx="0">
                  <c:v>690</c:v>
                </c:pt>
                <c:pt idx="1">
                  <c:v>242</c:v>
                </c:pt>
                <c:pt idx="2">
                  <c:v>62</c:v>
                </c:pt>
                <c:pt idx="3">
                  <c:v>437</c:v>
                </c:pt>
                <c:pt idx="4">
                  <c:v>322</c:v>
                </c:pt>
                <c:pt idx="5">
                  <c:v>135</c:v>
                </c:pt>
                <c:pt idx="6">
                  <c:v>224</c:v>
                </c:pt>
              </c:numCache>
            </c:numRef>
          </c:val>
        </c:ser>
        <c:ser>
          <c:idx val="1"/>
          <c:order val="1"/>
          <c:tx>
            <c:strRef>
              <c:f>Analysis!$L$35</c:f>
              <c:strCache>
                <c:ptCount val="1"/>
                <c:pt idx="0">
                  <c:v>metacritic score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Analysis!$I$36:$J$45</c:f>
              <c:multiLvlStrCache>
                <c:ptCount val="7"/>
                <c:lvl>
                  <c:pt idx="0">
                    <c:v>A</c:v>
                  </c:pt>
                  <c:pt idx="1">
                    <c:v>A+</c:v>
                  </c:pt>
                  <c:pt idx="2">
                    <c:v>A-</c:v>
                  </c:pt>
                  <c:pt idx="3">
                    <c:v>A</c:v>
                  </c:pt>
                  <c:pt idx="4">
                    <c:v>A+</c:v>
                  </c:pt>
                  <c:pt idx="5">
                    <c:v>A-</c:v>
                  </c:pt>
                  <c:pt idx="6">
                    <c:v>NA</c:v>
                  </c:pt>
                </c:lvl>
                <c:lvl>
                  <c:pt idx="0">
                    <c:v>G</c:v>
                  </c:pt>
                  <c:pt idx="3">
                    <c:v>PG</c:v>
                  </c:pt>
                </c:lvl>
              </c:multiLvlStrCache>
            </c:multiLvlStrRef>
          </c:cat>
          <c:val>
            <c:numRef>
              <c:f>Analysis!$L$36:$L$45</c:f>
              <c:numCache>
                <c:formatCode>General</c:formatCode>
                <c:ptCount val="7"/>
                <c:pt idx="0">
                  <c:v>737</c:v>
                </c:pt>
                <c:pt idx="1">
                  <c:v>257</c:v>
                </c:pt>
                <c:pt idx="2">
                  <c:v>57</c:v>
                </c:pt>
                <c:pt idx="3">
                  <c:v>437</c:v>
                </c:pt>
                <c:pt idx="4">
                  <c:v>339</c:v>
                </c:pt>
                <c:pt idx="5">
                  <c:v>124</c:v>
                </c:pt>
                <c:pt idx="6">
                  <c:v>237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850105"/>
        <c:axId val="808141351"/>
      </c:barChart>
      <c:catAx>
        <c:axId val="5388501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141351"/>
        <c:crosses val="autoZero"/>
        <c:auto val="1"/>
        <c:lblAlgn val="ctr"/>
        <c:lblOffset val="100"/>
        <c:noMultiLvlLbl val="0"/>
      </c:catAx>
      <c:valAx>
        <c:axId val="808141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8501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 office.xlsx]Analysis!PivotTable8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Film runtime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Analysis!$N$4:$N$32</c:f>
              <c:strCache>
                <c:ptCount val="28"/>
                <c:pt idx="0">
                  <c:v>Incredibles 2</c:v>
                </c:pt>
                <c:pt idx="1">
                  <c:v>Cars</c:v>
                </c:pt>
                <c:pt idx="2">
                  <c:v>The Incredibles</c:v>
                </c:pt>
                <c:pt idx="3">
                  <c:v>Ratatouille</c:v>
                </c:pt>
                <c:pt idx="4">
                  <c:v>Cars 2</c:v>
                </c:pt>
                <c:pt idx="5">
                  <c:v>Lightyear</c:v>
                </c:pt>
                <c:pt idx="6">
                  <c:v>Coco</c:v>
                </c:pt>
                <c:pt idx="7">
                  <c:v>Monsters University</c:v>
                </c:pt>
                <c:pt idx="8">
                  <c:v>Toy Story 3</c:v>
                </c:pt>
                <c:pt idx="9">
                  <c:v>Onward</c:v>
                </c:pt>
                <c:pt idx="10">
                  <c:v>Cars 3</c:v>
                </c:pt>
                <c:pt idx="11">
                  <c:v>Elemental</c:v>
                </c:pt>
                <c:pt idx="12">
                  <c:v>Turning Red</c:v>
                </c:pt>
                <c:pt idx="13">
                  <c:v>Toy Story 4</c:v>
                </c:pt>
                <c:pt idx="14">
                  <c:v>Soul</c:v>
                </c:pt>
                <c:pt idx="15">
                  <c:v>Finding Nemo</c:v>
                </c:pt>
                <c:pt idx="16">
                  <c:v>WALL-E</c:v>
                </c:pt>
                <c:pt idx="17">
                  <c:v>Finding Dory</c:v>
                </c:pt>
                <c:pt idx="18">
                  <c:v>Up</c:v>
                </c:pt>
                <c:pt idx="19">
                  <c:v>Inside Out 2</c:v>
                </c:pt>
                <c:pt idx="20">
                  <c:v>Luca</c:v>
                </c:pt>
                <c:pt idx="21">
                  <c:v>Inside Out</c:v>
                </c:pt>
                <c:pt idx="22">
                  <c:v>A Bug's Life</c:v>
                </c:pt>
                <c:pt idx="23">
                  <c:v>The Good Dinosaur</c:v>
                </c:pt>
                <c:pt idx="24">
                  <c:v>Brave</c:v>
                </c:pt>
                <c:pt idx="25">
                  <c:v>Toy Story 2</c:v>
                </c:pt>
                <c:pt idx="26">
                  <c:v>Monsters, Inc.</c:v>
                </c:pt>
                <c:pt idx="27">
                  <c:v>Toy Story</c:v>
                </c:pt>
              </c:strCache>
            </c:strRef>
          </c:cat>
          <c:val>
            <c:numRef>
              <c:f>Analysis!$O$4:$O$32</c:f>
              <c:numCache>
                <c:formatCode>General</c:formatCode>
                <c:ptCount val="28"/>
                <c:pt idx="0">
                  <c:v>118</c:v>
                </c:pt>
                <c:pt idx="1">
                  <c:v>116</c:v>
                </c:pt>
                <c:pt idx="2">
                  <c:v>115</c:v>
                </c:pt>
                <c:pt idx="3">
                  <c:v>111</c:v>
                </c:pt>
                <c:pt idx="4">
                  <c:v>106</c:v>
                </c:pt>
                <c:pt idx="5">
                  <c:v>105</c:v>
                </c:pt>
                <c:pt idx="6">
                  <c:v>105</c:v>
                </c:pt>
                <c:pt idx="7">
                  <c:v>104</c:v>
                </c:pt>
                <c:pt idx="8">
                  <c:v>103</c:v>
                </c:pt>
                <c:pt idx="9">
                  <c:v>102</c:v>
                </c:pt>
                <c:pt idx="10">
                  <c:v>102</c:v>
                </c:pt>
                <c:pt idx="11">
                  <c:v>101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98</c:v>
                </c:pt>
                <c:pt idx="17">
                  <c:v>97</c:v>
                </c:pt>
                <c:pt idx="18">
                  <c:v>96</c:v>
                </c:pt>
                <c:pt idx="19">
                  <c:v>96</c:v>
                </c:pt>
                <c:pt idx="20">
                  <c:v>95</c:v>
                </c:pt>
                <c:pt idx="21">
                  <c:v>95</c:v>
                </c:pt>
                <c:pt idx="22">
                  <c:v>95</c:v>
                </c:pt>
                <c:pt idx="23">
                  <c:v>93</c:v>
                </c:pt>
                <c:pt idx="24">
                  <c:v>93</c:v>
                </c:pt>
                <c:pt idx="25">
                  <c:v>92</c:v>
                </c:pt>
                <c:pt idx="26">
                  <c:v>92</c:v>
                </c:pt>
                <c:pt idx="27">
                  <c:v>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8249181"/>
        <c:axId val="40191433"/>
      </c:barChart>
      <c:catAx>
        <c:axId val="2982491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191433"/>
        <c:crosses val="autoZero"/>
        <c:auto val="1"/>
        <c:lblAlgn val="ctr"/>
        <c:lblOffset val="100"/>
        <c:noMultiLvlLbl val="0"/>
      </c:catAx>
      <c:valAx>
        <c:axId val="401914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824918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 office.xlsx]Analysis!PivotTable9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Director runtime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Analysis!$R$3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dash"/>
            <c:size val="7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Analysis!$Q$4:$Q$18</c:f>
              <c:strCache>
                <c:ptCount val="14"/>
                <c:pt idx="0">
                  <c:v>John Lasseter</c:v>
                </c:pt>
                <c:pt idx="1">
                  <c:v>Pete Docter</c:v>
                </c:pt>
                <c:pt idx="2">
                  <c:v>Andrew Stanton</c:v>
                </c:pt>
                <c:pt idx="3">
                  <c:v>Brad Bird</c:v>
                </c:pt>
                <c:pt idx="4">
                  <c:v>Lee Unkrich</c:v>
                </c:pt>
                <c:pt idx="5">
                  <c:v>Mark Andrews</c:v>
                </c:pt>
                <c:pt idx="6">
                  <c:v>Dan Scanlon</c:v>
                </c:pt>
                <c:pt idx="7">
                  <c:v>Peter Sohn</c:v>
                </c:pt>
                <c:pt idx="8">
                  <c:v>Brian Fee</c:v>
                </c:pt>
                <c:pt idx="9">
                  <c:v>Josh Cooley</c:v>
                </c:pt>
                <c:pt idx="10">
                  <c:v>Jesse Andrews</c:v>
                </c:pt>
                <c:pt idx="11">
                  <c:v>Domee Shi</c:v>
                </c:pt>
                <c:pt idx="12">
                  <c:v>Angus MacLane</c:v>
                </c:pt>
                <c:pt idx="13">
                  <c:v>Kelsey Mann</c:v>
                </c:pt>
              </c:strCache>
            </c:strRef>
          </c:cat>
          <c:val>
            <c:numRef>
              <c:f>Analysis!$R$4:$R$18</c:f>
              <c:numCache>
                <c:formatCode>General</c:formatCode>
                <c:ptCount val="14"/>
                <c:pt idx="0">
                  <c:v>490</c:v>
                </c:pt>
                <c:pt idx="1">
                  <c:v>383</c:v>
                </c:pt>
                <c:pt idx="2">
                  <c:v>295</c:v>
                </c:pt>
                <c:pt idx="3">
                  <c:v>344</c:v>
                </c:pt>
                <c:pt idx="4">
                  <c:v>208</c:v>
                </c:pt>
                <c:pt idx="5">
                  <c:v>93</c:v>
                </c:pt>
                <c:pt idx="6">
                  <c:v>206</c:v>
                </c:pt>
                <c:pt idx="7">
                  <c:v>194</c:v>
                </c:pt>
                <c:pt idx="8">
                  <c:v>102</c:v>
                </c:pt>
                <c:pt idx="9">
                  <c:v>100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590136"/>
        <c:axId val="940193185"/>
      </c:lineChart>
      <c:catAx>
        <c:axId val="401590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0193185"/>
        <c:crosses val="autoZero"/>
        <c:auto val="1"/>
        <c:lblAlgn val="ctr"/>
        <c:lblOffset val="100"/>
        <c:noMultiLvlLbl val="0"/>
      </c:catAx>
      <c:valAx>
        <c:axId val="94019318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1590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 office.xlsx]Analysis!PivotTable7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Analysis!$K$35</c:f>
              <c:strCache>
                <c:ptCount val="1"/>
                <c:pt idx="0">
                  <c:v>Imdb score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Analysis!$I$36:$J$45</c:f>
              <c:multiLvlStrCache>
                <c:ptCount val="7"/>
                <c:lvl>
                  <c:pt idx="0">
                    <c:v>A</c:v>
                  </c:pt>
                  <c:pt idx="1">
                    <c:v>A+</c:v>
                  </c:pt>
                  <c:pt idx="2">
                    <c:v>A-</c:v>
                  </c:pt>
                  <c:pt idx="3">
                    <c:v>A</c:v>
                  </c:pt>
                  <c:pt idx="4">
                    <c:v>A+</c:v>
                  </c:pt>
                  <c:pt idx="5">
                    <c:v>A-</c:v>
                  </c:pt>
                  <c:pt idx="6">
                    <c:v>NA</c:v>
                  </c:pt>
                </c:lvl>
                <c:lvl>
                  <c:pt idx="0">
                    <c:v>G</c:v>
                  </c:pt>
                  <c:pt idx="3">
                    <c:v>PG</c:v>
                  </c:pt>
                </c:lvl>
              </c:multiLvlStrCache>
            </c:multiLvlStrRef>
          </c:cat>
          <c:val>
            <c:numRef>
              <c:f>Analysis!$K$36:$K$45</c:f>
              <c:numCache>
                <c:formatCode>General</c:formatCode>
                <c:ptCount val="7"/>
                <c:pt idx="0">
                  <c:v>690</c:v>
                </c:pt>
                <c:pt idx="1">
                  <c:v>242</c:v>
                </c:pt>
                <c:pt idx="2">
                  <c:v>62</c:v>
                </c:pt>
                <c:pt idx="3">
                  <c:v>437</c:v>
                </c:pt>
                <c:pt idx="4">
                  <c:v>322</c:v>
                </c:pt>
                <c:pt idx="5">
                  <c:v>135</c:v>
                </c:pt>
                <c:pt idx="6">
                  <c:v>224</c:v>
                </c:pt>
              </c:numCache>
            </c:numRef>
          </c:val>
        </c:ser>
        <c:ser>
          <c:idx val="1"/>
          <c:order val="1"/>
          <c:tx>
            <c:strRef>
              <c:f>Analysis!$L$35</c:f>
              <c:strCache>
                <c:ptCount val="1"/>
                <c:pt idx="0">
                  <c:v>metacritic score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Analysis!$I$36:$J$45</c:f>
              <c:multiLvlStrCache>
                <c:ptCount val="7"/>
                <c:lvl>
                  <c:pt idx="0">
                    <c:v>A</c:v>
                  </c:pt>
                  <c:pt idx="1">
                    <c:v>A+</c:v>
                  </c:pt>
                  <c:pt idx="2">
                    <c:v>A-</c:v>
                  </c:pt>
                  <c:pt idx="3">
                    <c:v>A</c:v>
                  </c:pt>
                  <c:pt idx="4">
                    <c:v>A+</c:v>
                  </c:pt>
                  <c:pt idx="5">
                    <c:v>A-</c:v>
                  </c:pt>
                  <c:pt idx="6">
                    <c:v>NA</c:v>
                  </c:pt>
                </c:lvl>
                <c:lvl>
                  <c:pt idx="0">
                    <c:v>G</c:v>
                  </c:pt>
                  <c:pt idx="3">
                    <c:v>PG</c:v>
                  </c:pt>
                </c:lvl>
              </c:multiLvlStrCache>
            </c:multiLvlStrRef>
          </c:cat>
          <c:val>
            <c:numRef>
              <c:f>Analysis!$L$36:$L$45</c:f>
              <c:numCache>
                <c:formatCode>General</c:formatCode>
                <c:ptCount val="7"/>
                <c:pt idx="0">
                  <c:v>737</c:v>
                </c:pt>
                <c:pt idx="1">
                  <c:v>257</c:v>
                </c:pt>
                <c:pt idx="2">
                  <c:v>57</c:v>
                </c:pt>
                <c:pt idx="3">
                  <c:v>437</c:v>
                </c:pt>
                <c:pt idx="4">
                  <c:v>339</c:v>
                </c:pt>
                <c:pt idx="5">
                  <c:v>124</c:v>
                </c:pt>
                <c:pt idx="6">
                  <c:v>237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850105"/>
        <c:axId val="808141351"/>
      </c:barChart>
      <c:catAx>
        <c:axId val="5388501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141351"/>
        <c:crosses val="autoZero"/>
        <c:auto val="1"/>
        <c:lblAlgn val="ctr"/>
        <c:lblOffset val="100"/>
        <c:noMultiLvlLbl val="0"/>
      </c:catAx>
      <c:valAx>
        <c:axId val="808141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8501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704a35-f50c-48b9-88eb-1c5e73d8945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 office.xlsx]Analysis!PivotTable3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Analysis!$F$4:$F$18</c:f>
              <c:strCache>
                <c:ptCount val="14"/>
                <c:pt idx="0">
                  <c:v>Brad Bird</c:v>
                </c:pt>
                <c:pt idx="1">
                  <c:v>Andrew Stanton</c:v>
                </c:pt>
                <c:pt idx="2">
                  <c:v>John Lasseter</c:v>
                </c:pt>
                <c:pt idx="3">
                  <c:v>Pete Docter</c:v>
                </c:pt>
                <c:pt idx="4">
                  <c:v>Lee Unkrich</c:v>
                </c:pt>
                <c:pt idx="5">
                  <c:v>Kelsey Mann</c:v>
                </c:pt>
                <c:pt idx="6">
                  <c:v>Josh Cooley</c:v>
                </c:pt>
                <c:pt idx="7">
                  <c:v>Dan Scanlon</c:v>
                </c:pt>
                <c:pt idx="8">
                  <c:v>Peter Sohn</c:v>
                </c:pt>
                <c:pt idx="9">
                  <c:v>Mark Andrews</c:v>
                </c:pt>
                <c:pt idx="10">
                  <c:v>Brian Fee</c:v>
                </c:pt>
                <c:pt idx="11">
                  <c:v>Angus MacLane</c:v>
                </c:pt>
                <c:pt idx="12">
                  <c:v>Jesse Andrews</c:v>
                </c:pt>
                <c:pt idx="13">
                  <c:v>Domee Shi</c:v>
                </c:pt>
              </c:strCache>
            </c:strRef>
          </c:cat>
          <c:val>
            <c:numRef>
              <c:f>Analysis!$G$4:$G$18</c:f>
              <c:numCache>
                <c:formatCode>[$$-C09]#,##0;\-[$$-C09]#,##0</c:formatCode>
                <c:ptCount val="14"/>
                <c:pt idx="0">
                  <c:v>2055973536</c:v>
                </c:pt>
                <c:pt idx="1">
                  <c:v>1946897727</c:v>
                </c:pt>
                <c:pt idx="2">
                  <c:v>1730889266</c:v>
                </c:pt>
                <c:pt idx="3">
                  <c:v>1628387391</c:v>
                </c:pt>
                <c:pt idx="4">
                  <c:v>1506610875</c:v>
                </c:pt>
                <c:pt idx="5">
                  <c:v>1498030965</c:v>
                </c:pt>
                <c:pt idx="6">
                  <c:v>873394593</c:v>
                </c:pt>
                <c:pt idx="7">
                  <c:v>510499649</c:v>
                </c:pt>
                <c:pt idx="8">
                  <c:v>453651979</c:v>
                </c:pt>
                <c:pt idx="9">
                  <c:v>353983207</c:v>
                </c:pt>
                <c:pt idx="10">
                  <c:v>208930656</c:v>
                </c:pt>
                <c:pt idx="11">
                  <c:v>26425420</c:v>
                </c:pt>
                <c:pt idx="12">
                  <c:v>0</c:v>
                </c:pt>
                <c:pt idx="13">
                  <c:v>-153186642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718762260"/>
        <c:axId val="998695097"/>
      </c:barChart>
      <c:catAx>
        <c:axId val="71876226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8695097"/>
        <c:crosses val="autoZero"/>
        <c:auto val="1"/>
        <c:lblAlgn val="ctr"/>
        <c:lblOffset val="100"/>
        <c:noMultiLvlLbl val="0"/>
      </c:catAx>
      <c:valAx>
        <c:axId val="998695097"/>
        <c:scaling>
          <c:orientation val="minMax"/>
        </c:scaling>
        <c:delete val="0"/>
        <c:axPos val="l"/>
        <c:numFmt formatCode="[$$-C09]#,##0;\-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7622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a2be04-e8a5-4b6c-b93e-07a6a7183a4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 office.xlsx]Analysis!PivotTable4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Analysis!$G$20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dash"/>
            <c:size val="7"/>
            <c:spPr>
              <a:solidFill>
                <a:schemeClr val="accent2">
                  <a:lumMod val="50000"/>
                </a:schemeClr>
              </a:solidFill>
              <a:ln w="9525" cap="flat" cmpd="sng">
                <a:solidFill>
                  <a:schemeClr val="accent2">
                    <a:lumMod val="50000"/>
                  </a:schemeClr>
                </a:solidFill>
                <a:prstDash val="solid"/>
                <a:headEnd type="none"/>
                <a:tailEnd type="none"/>
              </a:ln>
              <a:effectLst/>
            </c:spPr>
          </c:marker>
          <c:dLbls>
            <c:delete val="1"/>
          </c:dLbls>
          <c:cat>
            <c:strRef>
              <c:f>Analysis!$F$21:$F$45</c:f>
              <c:strCache>
                <c:ptCount val="24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  <c:pt idx="10">
                  <c:v>2013</c:v>
                </c:pt>
                <c:pt idx="11">
                  <c:v>2012</c:v>
                </c:pt>
                <c:pt idx="12">
                  <c:v>2011</c:v>
                </c:pt>
                <c:pt idx="13">
                  <c:v>2010</c:v>
                </c:pt>
                <c:pt idx="14">
                  <c:v>2009</c:v>
                </c:pt>
                <c:pt idx="15">
                  <c:v>2008</c:v>
                </c:pt>
                <c:pt idx="16">
                  <c:v>2007</c:v>
                </c:pt>
                <c:pt idx="17">
                  <c:v>2006</c:v>
                </c:pt>
                <c:pt idx="18">
                  <c:v>2004</c:v>
                </c:pt>
                <c:pt idx="19">
                  <c:v>2003</c:v>
                </c:pt>
                <c:pt idx="20">
                  <c:v>2001</c:v>
                </c:pt>
                <c:pt idx="21">
                  <c:v>1999</c:v>
                </c:pt>
                <c:pt idx="22">
                  <c:v>1998</c:v>
                </c:pt>
                <c:pt idx="23">
                  <c:v>1995</c:v>
                </c:pt>
              </c:strCache>
            </c:strRef>
          </c:cat>
          <c:val>
            <c:numRef>
              <c:f>Analysis!$G$21:$G$45</c:f>
              <c:numCache>
                <c:formatCode>[$$-C09]#,##0;\-[$$-C09]#,##0</c:formatCode>
                <c:ptCount val="24"/>
                <c:pt idx="0">
                  <c:v>1498030965</c:v>
                </c:pt>
                <c:pt idx="1">
                  <c:v>296444308</c:v>
                </c:pt>
                <c:pt idx="2">
                  <c:v>-126761222</c:v>
                </c:pt>
                <c:pt idx="3">
                  <c:v>0</c:v>
                </c:pt>
                <c:pt idx="4">
                  <c:v>-61156073</c:v>
                </c:pt>
                <c:pt idx="5">
                  <c:v>873394593</c:v>
                </c:pt>
                <c:pt idx="6">
                  <c:v>1042805359</c:v>
                </c:pt>
                <c:pt idx="7">
                  <c:v>848571828</c:v>
                </c:pt>
                <c:pt idx="8">
                  <c:v>828570889</c:v>
                </c:pt>
                <c:pt idx="9">
                  <c:v>839818845</c:v>
                </c:pt>
                <c:pt idx="10">
                  <c:v>543559607</c:v>
                </c:pt>
                <c:pt idx="11">
                  <c:v>353983207</c:v>
                </c:pt>
                <c:pt idx="12">
                  <c:v>359852396</c:v>
                </c:pt>
                <c:pt idx="13">
                  <c:v>866969703</c:v>
                </c:pt>
                <c:pt idx="14">
                  <c:v>560099082</c:v>
                </c:pt>
                <c:pt idx="15">
                  <c:v>341311860</c:v>
                </c:pt>
                <c:pt idx="16">
                  <c:v>473726085</c:v>
                </c:pt>
                <c:pt idx="17">
                  <c:v>341983149</c:v>
                </c:pt>
                <c:pt idx="18">
                  <c:v>539442092</c:v>
                </c:pt>
                <c:pt idx="19">
                  <c:v>777014978</c:v>
                </c:pt>
                <c:pt idx="20">
                  <c:v>413773250</c:v>
                </c:pt>
                <c:pt idx="21">
                  <c:v>421358276</c:v>
                </c:pt>
                <c:pt idx="22">
                  <c:v>243258859</c:v>
                </c:pt>
                <c:pt idx="23">
                  <c:v>364436586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777259"/>
        <c:axId val="853622192"/>
      </c:lineChart>
      <c:catAx>
        <c:axId val="847777259"/>
        <c:scaling>
          <c:orientation val="minMax"/>
        </c:scaling>
        <c:delete val="0"/>
        <c:axPos val="b"/>
        <c:majorTickMark val="none"/>
        <c:minorTickMark val="cross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3622192"/>
        <c:crosses val="autoZero"/>
        <c:auto val="1"/>
        <c:lblAlgn val="ctr"/>
        <c:lblOffset val="100"/>
        <c:noMultiLvlLbl val="0"/>
      </c:catAx>
      <c:valAx>
        <c:axId val="853622192"/>
        <c:scaling>
          <c:orientation val="minMax"/>
        </c:scaling>
        <c:delete val="0"/>
        <c:axPos val="l"/>
        <c:numFmt formatCode="[$$-C09]#,##0;\-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77772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29fd489-506f-4b2b-8efb-d3c25c7c8a2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 office.xlsx]Analysis!PivotTable6</c:name>
    <c:fmtId val="4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Analysis!$J$3</c:f>
              <c:strCache>
                <c:ptCount val="1"/>
                <c:pt idx="0">
                  <c:v>IMBD Score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Analysis!$I$4:$I$32</c:f>
              <c:strCache>
                <c:ptCount val="28"/>
                <c:pt idx="0">
                  <c:v>A Bug's Life</c:v>
                </c:pt>
                <c:pt idx="1">
                  <c:v>Brave</c:v>
                </c:pt>
                <c:pt idx="2">
                  <c:v>Cars</c:v>
                </c:pt>
                <c:pt idx="3">
                  <c:v>Cars 2</c:v>
                </c:pt>
                <c:pt idx="4">
                  <c:v>Cars 3</c:v>
                </c:pt>
                <c:pt idx="5">
                  <c:v>Coco</c:v>
                </c:pt>
                <c:pt idx="6">
                  <c:v>Elemental</c:v>
                </c:pt>
                <c:pt idx="7">
                  <c:v>Finding Dory</c:v>
                </c:pt>
                <c:pt idx="8">
                  <c:v>Finding Nemo</c:v>
                </c:pt>
                <c:pt idx="9">
                  <c:v>Incredibles 2</c:v>
                </c:pt>
                <c:pt idx="10">
                  <c:v>Inside Out</c:v>
                </c:pt>
                <c:pt idx="11">
                  <c:v>Inside Out 2</c:v>
                </c:pt>
                <c:pt idx="12">
                  <c:v>Lightyear</c:v>
                </c:pt>
                <c:pt idx="13">
                  <c:v>Luca</c:v>
                </c:pt>
                <c:pt idx="14">
                  <c:v>Monsters University</c:v>
                </c:pt>
                <c:pt idx="15">
                  <c:v>Monsters, Inc.</c:v>
                </c:pt>
                <c:pt idx="16">
                  <c:v>Onward</c:v>
                </c:pt>
                <c:pt idx="17">
                  <c:v>Ratatouille</c:v>
                </c:pt>
                <c:pt idx="18">
                  <c:v>Soul</c:v>
                </c:pt>
                <c:pt idx="19">
                  <c:v>The Good Dinosaur</c:v>
                </c:pt>
                <c:pt idx="20">
                  <c:v>The Incredibles</c:v>
                </c:pt>
                <c:pt idx="21">
                  <c:v>Toy Story</c:v>
                </c:pt>
                <c:pt idx="22">
                  <c:v>Toy Story 2</c:v>
                </c:pt>
                <c:pt idx="23">
                  <c:v>Toy Story 3</c:v>
                </c:pt>
                <c:pt idx="24">
                  <c:v>Toy Story 4</c:v>
                </c:pt>
                <c:pt idx="25">
                  <c:v>Turning Red</c:v>
                </c:pt>
                <c:pt idx="26">
                  <c:v>Up</c:v>
                </c:pt>
                <c:pt idx="27">
                  <c:v>WALL-E</c:v>
                </c:pt>
              </c:strCache>
            </c:strRef>
          </c:cat>
          <c:val>
            <c:numRef>
              <c:f>Analysis!$J$4:$J$32</c:f>
              <c:numCache>
                <c:formatCode>General</c:formatCode>
                <c:ptCount val="28"/>
                <c:pt idx="0">
                  <c:v>72</c:v>
                </c:pt>
                <c:pt idx="1">
                  <c:v>71</c:v>
                </c:pt>
                <c:pt idx="2">
                  <c:v>72</c:v>
                </c:pt>
                <c:pt idx="3">
                  <c:v>62</c:v>
                </c:pt>
                <c:pt idx="4">
                  <c:v>67</c:v>
                </c:pt>
                <c:pt idx="5">
                  <c:v>84</c:v>
                </c:pt>
                <c:pt idx="6">
                  <c:v>70</c:v>
                </c:pt>
                <c:pt idx="7">
                  <c:v>72</c:v>
                </c:pt>
                <c:pt idx="8">
                  <c:v>82</c:v>
                </c:pt>
                <c:pt idx="9">
                  <c:v>75</c:v>
                </c:pt>
                <c:pt idx="10">
                  <c:v>81</c:v>
                </c:pt>
                <c:pt idx="11">
                  <c:v>76</c:v>
                </c:pt>
                <c:pt idx="12">
                  <c:v>61</c:v>
                </c:pt>
                <c:pt idx="13">
                  <c:v>74</c:v>
                </c:pt>
                <c:pt idx="14">
                  <c:v>72</c:v>
                </c:pt>
                <c:pt idx="15">
                  <c:v>81</c:v>
                </c:pt>
                <c:pt idx="16">
                  <c:v>74</c:v>
                </c:pt>
                <c:pt idx="17">
                  <c:v>81</c:v>
                </c:pt>
                <c:pt idx="18">
                  <c:v>80</c:v>
                </c:pt>
                <c:pt idx="19">
                  <c:v>67</c:v>
                </c:pt>
                <c:pt idx="20">
                  <c:v>80</c:v>
                </c:pt>
                <c:pt idx="21">
                  <c:v>83</c:v>
                </c:pt>
                <c:pt idx="22">
                  <c:v>79</c:v>
                </c:pt>
                <c:pt idx="23">
                  <c:v>83</c:v>
                </c:pt>
                <c:pt idx="24">
                  <c:v>76</c:v>
                </c:pt>
                <c:pt idx="25">
                  <c:v>70</c:v>
                </c:pt>
                <c:pt idx="26">
                  <c:v>83</c:v>
                </c:pt>
                <c:pt idx="27">
                  <c:v>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Analysis!$K$3</c:f>
              <c:strCache>
                <c:ptCount val="1"/>
                <c:pt idx="0">
                  <c:v>Metacritic Score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Analysis!$I$4:$I$32</c:f>
              <c:strCache>
                <c:ptCount val="28"/>
                <c:pt idx="0">
                  <c:v>A Bug's Life</c:v>
                </c:pt>
                <c:pt idx="1">
                  <c:v>Brave</c:v>
                </c:pt>
                <c:pt idx="2">
                  <c:v>Cars</c:v>
                </c:pt>
                <c:pt idx="3">
                  <c:v>Cars 2</c:v>
                </c:pt>
                <c:pt idx="4">
                  <c:v>Cars 3</c:v>
                </c:pt>
                <c:pt idx="5">
                  <c:v>Coco</c:v>
                </c:pt>
                <c:pt idx="6">
                  <c:v>Elemental</c:v>
                </c:pt>
                <c:pt idx="7">
                  <c:v>Finding Dory</c:v>
                </c:pt>
                <c:pt idx="8">
                  <c:v>Finding Nemo</c:v>
                </c:pt>
                <c:pt idx="9">
                  <c:v>Incredibles 2</c:v>
                </c:pt>
                <c:pt idx="10">
                  <c:v>Inside Out</c:v>
                </c:pt>
                <c:pt idx="11">
                  <c:v>Inside Out 2</c:v>
                </c:pt>
                <c:pt idx="12">
                  <c:v>Lightyear</c:v>
                </c:pt>
                <c:pt idx="13">
                  <c:v>Luca</c:v>
                </c:pt>
                <c:pt idx="14">
                  <c:v>Monsters University</c:v>
                </c:pt>
                <c:pt idx="15">
                  <c:v>Monsters, Inc.</c:v>
                </c:pt>
                <c:pt idx="16">
                  <c:v>Onward</c:v>
                </c:pt>
                <c:pt idx="17">
                  <c:v>Ratatouille</c:v>
                </c:pt>
                <c:pt idx="18">
                  <c:v>Soul</c:v>
                </c:pt>
                <c:pt idx="19">
                  <c:v>The Good Dinosaur</c:v>
                </c:pt>
                <c:pt idx="20">
                  <c:v>The Incredibles</c:v>
                </c:pt>
                <c:pt idx="21">
                  <c:v>Toy Story</c:v>
                </c:pt>
                <c:pt idx="22">
                  <c:v>Toy Story 2</c:v>
                </c:pt>
                <c:pt idx="23">
                  <c:v>Toy Story 3</c:v>
                </c:pt>
                <c:pt idx="24">
                  <c:v>Toy Story 4</c:v>
                </c:pt>
                <c:pt idx="25">
                  <c:v>Turning Red</c:v>
                </c:pt>
                <c:pt idx="26">
                  <c:v>Up</c:v>
                </c:pt>
                <c:pt idx="27">
                  <c:v>WALL-E</c:v>
                </c:pt>
              </c:strCache>
            </c:strRef>
          </c:cat>
          <c:val>
            <c:numRef>
              <c:f>Analysis!$K$4:$K$32</c:f>
              <c:numCache>
                <c:formatCode>General</c:formatCode>
                <c:ptCount val="28"/>
                <c:pt idx="0">
                  <c:v>78</c:v>
                </c:pt>
                <c:pt idx="1">
                  <c:v>69</c:v>
                </c:pt>
                <c:pt idx="2">
                  <c:v>73</c:v>
                </c:pt>
                <c:pt idx="3">
                  <c:v>57</c:v>
                </c:pt>
                <c:pt idx="4">
                  <c:v>59</c:v>
                </c:pt>
                <c:pt idx="5">
                  <c:v>81</c:v>
                </c:pt>
                <c:pt idx="6">
                  <c:v>58</c:v>
                </c:pt>
                <c:pt idx="7">
                  <c:v>77</c:v>
                </c:pt>
                <c:pt idx="8">
                  <c:v>90</c:v>
                </c:pt>
                <c:pt idx="9">
                  <c:v>80</c:v>
                </c:pt>
                <c:pt idx="10">
                  <c:v>94</c:v>
                </c:pt>
                <c:pt idx="11">
                  <c:v>73</c:v>
                </c:pt>
                <c:pt idx="12">
                  <c:v>60</c:v>
                </c:pt>
                <c:pt idx="13">
                  <c:v>71</c:v>
                </c:pt>
                <c:pt idx="14">
                  <c:v>65</c:v>
                </c:pt>
                <c:pt idx="15">
                  <c:v>79</c:v>
                </c:pt>
                <c:pt idx="16">
                  <c:v>64</c:v>
                </c:pt>
                <c:pt idx="17">
                  <c:v>96</c:v>
                </c:pt>
                <c:pt idx="18">
                  <c:v>83</c:v>
                </c:pt>
                <c:pt idx="19">
                  <c:v>66</c:v>
                </c:pt>
                <c:pt idx="20">
                  <c:v>90</c:v>
                </c:pt>
                <c:pt idx="21">
                  <c:v>95</c:v>
                </c:pt>
                <c:pt idx="22">
                  <c:v>88</c:v>
                </c:pt>
                <c:pt idx="23">
                  <c:v>92</c:v>
                </c:pt>
                <c:pt idx="24">
                  <c:v>84</c:v>
                </c:pt>
                <c:pt idx="25">
                  <c:v>83</c:v>
                </c:pt>
                <c:pt idx="26">
                  <c:v>88</c:v>
                </c:pt>
                <c:pt idx="27">
                  <c:v>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Analysis!$L$3</c:f>
              <c:strCache>
                <c:ptCount val="1"/>
                <c:pt idx="0">
                  <c:v>Rotten Tomatoe Score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Analysis!$I$4:$I$32</c:f>
              <c:strCache>
                <c:ptCount val="28"/>
                <c:pt idx="0">
                  <c:v>A Bug's Life</c:v>
                </c:pt>
                <c:pt idx="1">
                  <c:v>Brave</c:v>
                </c:pt>
                <c:pt idx="2">
                  <c:v>Cars</c:v>
                </c:pt>
                <c:pt idx="3">
                  <c:v>Cars 2</c:v>
                </c:pt>
                <c:pt idx="4">
                  <c:v>Cars 3</c:v>
                </c:pt>
                <c:pt idx="5">
                  <c:v>Coco</c:v>
                </c:pt>
                <c:pt idx="6">
                  <c:v>Elemental</c:v>
                </c:pt>
                <c:pt idx="7">
                  <c:v>Finding Dory</c:v>
                </c:pt>
                <c:pt idx="8">
                  <c:v>Finding Nemo</c:v>
                </c:pt>
                <c:pt idx="9">
                  <c:v>Incredibles 2</c:v>
                </c:pt>
                <c:pt idx="10">
                  <c:v>Inside Out</c:v>
                </c:pt>
                <c:pt idx="11">
                  <c:v>Inside Out 2</c:v>
                </c:pt>
                <c:pt idx="12">
                  <c:v>Lightyear</c:v>
                </c:pt>
                <c:pt idx="13">
                  <c:v>Luca</c:v>
                </c:pt>
                <c:pt idx="14">
                  <c:v>Monsters University</c:v>
                </c:pt>
                <c:pt idx="15">
                  <c:v>Monsters, Inc.</c:v>
                </c:pt>
                <c:pt idx="16">
                  <c:v>Onward</c:v>
                </c:pt>
                <c:pt idx="17">
                  <c:v>Ratatouille</c:v>
                </c:pt>
                <c:pt idx="18">
                  <c:v>Soul</c:v>
                </c:pt>
                <c:pt idx="19">
                  <c:v>The Good Dinosaur</c:v>
                </c:pt>
                <c:pt idx="20">
                  <c:v>The Incredibles</c:v>
                </c:pt>
                <c:pt idx="21">
                  <c:v>Toy Story</c:v>
                </c:pt>
                <c:pt idx="22">
                  <c:v>Toy Story 2</c:v>
                </c:pt>
                <c:pt idx="23">
                  <c:v>Toy Story 3</c:v>
                </c:pt>
                <c:pt idx="24">
                  <c:v>Toy Story 4</c:v>
                </c:pt>
                <c:pt idx="25">
                  <c:v>Turning Red</c:v>
                </c:pt>
                <c:pt idx="26">
                  <c:v>Up</c:v>
                </c:pt>
                <c:pt idx="27">
                  <c:v>WALL-E</c:v>
                </c:pt>
              </c:strCache>
            </c:strRef>
          </c:cat>
          <c:val>
            <c:numRef>
              <c:f>Analysis!$L$4:$L$32</c:f>
              <c:numCache>
                <c:formatCode>General</c:formatCode>
                <c:ptCount val="28"/>
                <c:pt idx="0">
                  <c:v>92</c:v>
                </c:pt>
                <c:pt idx="1">
                  <c:v>79</c:v>
                </c:pt>
                <c:pt idx="2">
                  <c:v>75</c:v>
                </c:pt>
                <c:pt idx="3">
                  <c:v>40</c:v>
                </c:pt>
                <c:pt idx="4">
                  <c:v>69</c:v>
                </c:pt>
                <c:pt idx="5">
                  <c:v>97</c:v>
                </c:pt>
                <c:pt idx="6">
                  <c:v>73</c:v>
                </c:pt>
                <c:pt idx="7">
                  <c:v>94</c:v>
                </c:pt>
                <c:pt idx="8">
                  <c:v>99</c:v>
                </c:pt>
                <c:pt idx="9">
                  <c:v>93</c:v>
                </c:pt>
                <c:pt idx="10">
                  <c:v>98</c:v>
                </c:pt>
                <c:pt idx="11">
                  <c:v>90</c:v>
                </c:pt>
                <c:pt idx="12">
                  <c:v>74</c:v>
                </c:pt>
                <c:pt idx="13">
                  <c:v>91</c:v>
                </c:pt>
                <c:pt idx="14">
                  <c:v>80</c:v>
                </c:pt>
                <c:pt idx="15">
                  <c:v>96</c:v>
                </c:pt>
                <c:pt idx="16">
                  <c:v>88</c:v>
                </c:pt>
                <c:pt idx="17">
                  <c:v>96</c:v>
                </c:pt>
                <c:pt idx="18">
                  <c:v>95</c:v>
                </c:pt>
                <c:pt idx="19">
                  <c:v>75</c:v>
                </c:pt>
                <c:pt idx="20">
                  <c:v>97</c:v>
                </c:pt>
                <c:pt idx="21">
                  <c:v>100</c:v>
                </c:pt>
                <c:pt idx="22">
                  <c:v>100</c:v>
                </c:pt>
                <c:pt idx="23">
                  <c:v>98</c:v>
                </c:pt>
                <c:pt idx="24">
                  <c:v>97</c:v>
                </c:pt>
                <c:pt idx="25">
                  <c:v>95</c:v>
                </c:pt>
                <c:pt idx="26">
                  <c:v>98</c:v>
                </c:pt>
                <c:pt idx="27">
                  <c:v>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69999235"/>
        <c:axId val="296859792"/>
      </c:lineChart>
      <c:catAx>
        <c:axId val="7699992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6859792"/>
        <c:crosses val="autoZero"/>
        <c:auto val="1"/>
        <c:lblAlgn val="ctr"/>
        <c:lblOffset val="100"/>
        <c:noMultiLvlLbl val="0"/>
      </c:catAx>
      <c:valAx>
        <c:axId val="29685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99992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3f89f1-f074-4044-a8f1-ea3c248a2d3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 office.xlsx]Analysis!PivotTable2</c:name>
    <c:fmtId val="4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Analysis!$C$2</c:f>
              <c:strCache>
                <c:ptCount val="1"/>
                <c:pt idx="0">
                  <c:v>Film Budget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Analysis!$B$3:$B$31</c:f>
              <c:strCache>
                <c:ptCount val="28"/>
                <c:pt idx="0">
                  <c:v>A Bug's Life</c:v>
                </c:pt>
                <c:pt idx="1">
                  <c:v>Brave</c:v>
                </c:pt>
                <c:pt idx="2">
                  <c:v>Cars</c:v>
                </c:pt>
                <c:pt idx="3">
                  <c:v>Cars 2</c:v>
                </c:pt>
                <c:pt idx="4">
                  <c:v>Cars 3</c:v>
                </c:pt>
                <c:pt idx="5">
                  <c:v>Coco</c:v>
                </c:pt>
                <c:pt idx="6">
                  <c:v>Elemental</c:v>
                </c:pt>
                <c:pt idx="7">
                  <c:v>Finding Dory</c:v>
                </c:pt>
                <c:pt idx="8">
                  <c:v>Finding Nemo</c:v>
                </c:pt>
                <c:pt idx="9">
                  <c:v>Incredibles 2</c:v>
                </c:pt>
                <c:pt idx="10">
                  <c:v>Inside Out</c:v>
                </c:pt>
                <c:pt idx="11">
                  <c:v>Inside Out 2</c:v>
                </c:pt>
                <c:pt idx="12">
                  <c:v>Lightyear</c:v>
                </c:pt>
                <c:pt idx="13">
                  <c:v>Luca</c:v>
                </c:pt>
                <c:pt idx="14">
                  <c:v>Monsters University</c:v>
                </c:pt>
                <c:pt idx="15">
                  <c:v>Monsters, Inc.</c:v>
                </c:pt>
                <c:pt idx="16">
                  <c:v>Onward</c:v>
                </c:pt>
                <c:pt idx="17">
                  <c:v>Ratatouille</c:v>
                </c:pt>
                <c:pt idx="18">
                  <c:v>Soul</c:v>
                </c:pt>
                <c:pt idx="19">
                  <c:v>The Good Dinosaur</c:v>
                </c:pt>
                <c:pt idx="20">
                  <c:v>The Incredibles</c:v>
                </c:pt>
                <c:pt idx="21">
                  <c:v>Toy Story</c:v>
                </c:pt>
                <c:pt idx="22">
                  <c:v>Toy Story 2</c:v>
                </c:pt>
                <c:pt idx="23">
                  <c:v>Toy Story 3</c:v>
                </c:pt>
                <c:pt idx="24">
                  <c:v>Toy Story 4</c:v>
                </c:pt>
                <c:pt idx="25">
                  <c:v>Turning Red</c:v>
                </c:pt>
                <c:pt idx="26">
                  <c:v>Up</c:v>
                </c:pt>
                <c:pt idx="27">
                  <c:v>WALL-E</c:v>
                </c:pt>
              </c:strCache>
            </c:strRef>
          </c:cat>
          <c:val>
            <c:numRef>
              <c:f>Analysis!$C$3:$C$31</c:f>
              <c:numCache>
                <c:formatCode>[$$-C09]#,##0;\-[$$-C09]#,##0</c:formatCode>
                <c:ptCount val="28"/>
                <c:pt idx="0">
                  <c:v>120000000</c:v>
                </c:pt>
                <c:pt idx="1">
                  <c:v>185000000</c:v>
                </c:pt>
                <c:pt idx="2">
                  <c:v>120000000</c:v>
                </c:pt>
                <c:pt idx="3">
                  <c:v>200000000</c:v>
                </c:pt>
                <c:pt idx="4">
                  <c:v>175000000</c:v>
                </c:pt>
                <c:pt idx="5">
                  <c:v>175000000</c:v>
                </c:pt>
                <c:pt idx="6">
                  <c:v>200000000</c:v>
                </c:pt>
                <c:pt idx="7">
                  <c:v>200000000</c:v>
                </c:pt>
                <c:pt idx="8">
                  <c:v>94000000</c:v>
                </c:pt>
                <c:pt idx="9">
                  <c:v>200000000</c:v>
                </c:pt>
                <c:pt idx="10">
                  <c:v>175000000</c:v>
                </c:pt>
                <c:pt idx="11">
                  <c:v>200000000</c:v>
                </c:pt>
                <c:pt idx="12">
                  <c:v>200000000</c:v>
                </c:pt>
                <c:pt idx="13">
                  <c:v>0</c:v>
                </c:pt>
                <c:pt idx="14">
                  <c:v>200000000</c:v>
                </c:pt>
                <c:pt idx="15">
                  <c:v>115000000</c:v>
                </c:pt>
                <c:pt idx="16">
                  <c:v>175000000</c:v>
                </c:pt>
                <c:pt idx="17">
                  <c:v>150000000</c:v>
                </c:pt>
                <c:pt idx="18">
                  <c:v>150000000</c:v>
                </c:pt>
                <c:pt idx="19">
                  <c:v>175000000</c:v>
                </c:pt>
                <c:pt idx="20">
                  <c:v>92000000</c:v>
                </c:pt>
                <c:pt idx="21">
                  <c:v>30000000</c:v>
                </c:pt>
                <c:pt idx="22">
                  <c:v>90000000</c:v>
                </c:pt>
                <c:pt idx="23">
                  <c:v>200000000</c:v>
                </c:pt>
                <c:pt idx="24">
                  <c:v>200000000</c:v>
                </c:pt>
                <c:pt idx="25">
                  <c:v>175000000</c:v>
                </c:pt>
                <c:pt idx="26">
                  <c:v>175000000</c:v>
                </c:pt>
                <c:pt idx="27">
                  <c:v>180000000</c:v>
                </c:pt>
              </c:numCache>
            </c:numRef>
          </c:val>
        </c:ser>
        <c:ser>
          <c:idx val="1"/>
          <c:order val="1"/>
          <c:tx>
            <c:strRef>
              <c:f>Analysis!$D$2</c:f>
              <c:strCache>
                <c:ptCount val="1"/>
                <c:pt idx="0">
                  <c:v>Box Office Worldwide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  <a:sp3d contourW="19050"/>
          </c:spPr>
          <c:invertIfNegative val="0"/>
          <c:dLbls>
            <c:delete val="1"/>
          </c:dLbls>
          <c:cat>
            <c:strRef>
              <c:f>Analysis!$B$3:$B$31</c:f>
              <c:strCache>
                <c:ptCount val="28"/>
                <c:pt idx="0">
                  <c:v>A Bug's Life</c:v>
                </c:pt>
                <c:pt idx="1">
                  <c:v>Brave</c:v>
                </c:pt>
                <c:pt idx="2">
                  <c:v>Cars</c:v>
                </c:pt>
                <c:pt idx="3">
                  <c:v>Cars 2</c:v>
                </c:pt>
                <c:pt idx="4">
                  <c:v>Cars 3</c:v>
                </c:pt>
                <c:pt idx="5">
                  <c:v>Coco</c:v>
                </c:pt>
                <c:pt idx="6">
                  <c:v>Elemental</c:v>
                </c:pt>
                <c:pt idx="7">
                  <c:v>Finding Dory</c:v>
                </c:pt>
                <c:pt idx="8">
                  <c:v>Finding Nemo</c:v>
                </c:pt>
                <c:pt idx="9">
                  <c:v>Incredibles 2</c:v>
                </c:pt>
                <c:pt idx="10">
                  <c:v>Inside Out</c:v>
                </c:pt>
                <c:pt idx="11">
                  <c:v>Inside Out 2</c:v>
                </c:pt>
                <c:pt idx="12">
                  <c:v>Lightyear</c:v>
                </c:pt>
                <c:pt idx="13">
                  <c:v>Luca</c:v>
                </c:pt>
                <c:pt idx="14">
                  <c:v>Monsters University</c:v>
                </c:pt>
                <c:pt idx="15">
                  <c:v>Monsters, Inc.</c:v>
                </c:pt>
                <c:pt idx="16">
                  <c:v>Onward</c:v>
                </c:pt>
                <c:pt idx="17">
                  <c:v>Ratatouille</c:v>
                </c:pt>
                <c:pt idx="18">
                  <c:v>Soul</c:v>
                </c:pt>
                <c:pt idx="19">
                  <c:v>The Good Dinosaur</c:v>
                </c:pt>
                <c:pt idx="20">
                  <c:v>The Incredibles</c:v>
                </c:pt>
                <c:pt idx="21">
                  <c:v>Toy Story</c:v>
                </c:pt>
                <c:pt idx="22">
                  <c:v>Toy Story 2</c:v>
                </c:pt>
                <c:pt idx="23">
                  <c:v>Toy Story 3</c:v>
                </c:pt>
                <c:pt idx="24">
                  <c:v>Toy Story 4</c:v>
                </c:pt>
                <c:pt idx="25">
                  <c:v>Turning Red</c:v>
                </c:pt>
                <c:pt idx="26">
                  <c:v>Up</c:v>
                </c:pt>
                <c:pt idx="27">
                  <c:v>WALL-E</c:v>
                </c:pt>
              </c:strCache>
            </c:strRef>
          </c:cat>
          <c:val>
            <c:numRef>
              <c:f>Analysis!$D$3:$D$31</c:f>
              <c:numCache>
                <c:formatCode>[$$-C09]#,##0;\-[$$-C09]#,##0</c:formatCode>
                <c:ptCount val="28"/>
                <c:pt idx="0">
                  <c:v>363258859</c:v>
                </c:pt>
                <c:pt idx="1">
                  <c:v>538983207</c:v>
                </c:pt>
                <c:pt idx="2">
                  <c:v>461983149</c:v>
                </c:pt>
                <c:pt idx="3">
                  <c:v>559852396</c:v>
                </c:pt>
                <c:pt idx="4">
                  <c:v>383930656</c:v>
                </c:pt>
                <c:pt idx="5">
                  <c:v>814641172</c:v>
                </c:pt>
                <c:pt idx="6">
                  <c:v>496444308</c:v>
                </c:pt>
                <c:pt idx="7">
                  <c:v>1028570889</c:v>
                </c:pt>
                <c:pt idx="8">
                  <c:v>871014978</c:v>
                </c:pt>
                <c:pt idx="9">
                  <c:v>1242805359</c:v>
                </c:pt>
                <c:pt idx="10">
                  <c:v>857611174</c:v>
                </c:pt>
                <c:pt idx="11">
                  <c:v>1698030965</c:v>
                </c:pt>
                <c:pt idx="12">
                  <c:v>226425420</c:v>
                </c:pt>
                <c:pt idx="13">
                  <c:v>51112314</c:v>
                </c:pt>
                <c:pt idx="14">
                  <c:v>743559607</c:v>
                </c:pt>
                <c:pt idx="15">
                  <c:v>528773250</c:v>
                </c:pt>
                <c:pt idx="16">
                  <c:v>141940042</c:v>
                </c:pt>
                <c:pt idx="17">
                  <c:v>623726085</c:v>
                </c:pt>
                <c:pt idx="18">
                  <c:v>121903885</c:v>
                </c:pt>
                <c:pt idx="19">
                  <c:v>332207671</c:v>
                </c:pt>
                <c:pt idx="20">
                  <c:v>631442092</c:v>
                </c:pt>
                <c:pt idx="21">
                  <c:v>394436586</c:v>
                </c:pt>
                <c:pt idx="22">
                  <c:v>511358276</c:v>
                </c:pt>
                <c:pt idx="23">
                  <c:v>1066969703</c:v>
                </c:pt>
                <c:pt idx="24">
                  <c:v>1073394593</c:v>
                </c:pt>
                <c:pt idx="25">
                  <c:v>21813358</c:v>
                </c:pt>
                <c:pt idx="26">
                  <c:v>735099082</c:v>
                </c:pt>
                <c:pt idx="27">
                  <c:v>521311860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873350"/>
        <c:axId val="118708773"/>
      </c:barChart>
      <c:catAx>
        <c:axId val="88687335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8708773"/>
        <c:crosses val="autoZero"/>
        <c:auto val="1"/>
        <c:lblAlgn val="ctr"/>
        <c:lblOffset val="100"/>
        <c:noMultiLvlLbl val="0"/>
      </c:catAx>
      <c:valAx>
        <c:axId val="1187087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;\-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68733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a9ab54-b3a6-48e7-a0b9-027af50ea0b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360045</xdr:colOff>
      <xdr:row>39</xdr:row>
      <xdr:rowOff>155575</xdr:rowOff>
    </xdr:from>
    <xdr:to>
      <xdr:col>19</xdr:col>
      <xdr:colOff>1872615</xdr:colOff>
      <xdr:row>60</xdr:row>
      <xdr:rowOff>65405</xdr:rowOff>
    </xdr:to>
    <xdr:graphicFrame>
      <xdr:nvGraphicFramePr>
        <xdr:cNvPr id="2" name="Chart 1"/>
        <xdr:cNvGraphicFramePr/>
      </xdr:nvGraphicFramePr>
      <xdr:xfrm>
        <a:off x="16509365" y="8476615"/>
        <a:ext cx="11819890" cy="4390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400050</xdr:colOff>
      <xdr:row>24</xdr:row>
      <xdr:rowOff>69850</xdr:rowOff>
    </xdr:from>
    <xdr:to>
      <xdr:col>19</xdr:col>
      <xdr:colOff>1646555</xdr:colOff>
      <xdr:row>37</xdr:row>
      <xdr:rowOff>172085</xdr:rowOff>
    </xdr:to>
    <xdr:graphicFrame>
      <xdr:nvGraphicFramePr>
        <xdr:cNvPr id="3" name="Chart 2"/>
        <xdr:cNvGraphicFramePr/>
      </xdr:nvGraphicFramePr>
      <xdr:xfrm>
        <a:off x="20450810" y="5190490"/>
        <a:ext cx="7652385" cy="2875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2133600</xdr:colOff>
      <xdr:row>24</xdr:row>
      <xdr:rowOff>195580</xdr:rowOff>
    </xdr:from>
    <xdr:to>
      <xdr:col>32</xdr:col>
      <xdr:colOff>71120</xdr:colOff>
      <xdr:row>39</xdr:row>
      <xdr:rowOff>136525</xdr:rowOff>
    </xdr:to>
    <xdr:graphicFrame>
      <xdr:nvGraphicFramePr>
        <xdr:cNvPr id="4" name="Chart 3"/>
        <xdr:cNvGraphicFramePr/>
      </xdr:nvGraphicFramePr>
      <xdr:xfrm>
        <a:off x="28590240" y="5316220"/>
        <a:ext cx="9032240" cy="3141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384175</xdr:colOff>
      <xdr:row>3</xdr:row>
      <xdr:rowOff>155575</xdr:rowOff>
    </xdr:from>
    <xdr:to>
      <xdr:col>28</xdr:col>
      <xdr:colOff>78105</xdr:colOff>
      <xdr:row>19</xdr:row>
      <xdr:rowOff>20955</xdr:rowOff>
    </xdr:to>
    <xdr:graphicFrame>
      <xdr:nvGraphicFramePr>
        <xdr:cNvPr id="5" name="Chart 4"/>
        <xdr:cNvGraphicFramePr/>
      </xdr:nvGraphicFramePr>
      <xdr:xfrm>
        <a:off x="25113615" y="795655"/>
        <a:ext cx="9589770" cy="3279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75565</xdr:colOff>
      <xdr:row>44</xdr:row>
      <xdr:rowOff>45085</xdr:rowOff>
    </xdr:from>
    <xdr:to>
      <xdr:col>29</xdr:col>
      <xdr:colOff>412115</xdr:colOff>
      <xdr:row>57</xdr:row>
      <xdr:rowOff>147955</xdr:rowOff>
    </xdr:to>
    <xdr:graphicFrame>
      <xdr:nvGraphicFramePr>
        <xdr:cNvPr id="6" name="Chart 5"/>
        <xdr:cNvGraphicFramePr/>
      </xdr:nvGraphicFramePr>
      <xdr:xfrm>
        <a:off x="29580205" y="9432925"/>
        <a:ext cx="6188710" cy="2876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728345</xdr:colOff>
      <xdr:row>4</xdr:row>
      <xdr:rowOff>164465</xdr:rowOff>
    </xdr:from>
    <xdr:to>
      <xdr:col>44</xdr:col>
      <xdr:colOff>57150</xdr:colOff>
      <xdr:row>18</xdr:row>
      <xdr:rowOff>104775</xdr:rowOff>
    </xdr:to>
    <xdr:graphicFrame>
      <xdr:nvGraphicFramePr>
        <xdr:cNvPr id="8" name="Chart 7"/>
        <xdr:cNvGraphicFramePr/>
      </xdr:nvGraphicFramePr>
      <xdr:xfrm>
        <a:off x="35353625" y="1017905"/>
        <a:ext cx="11033125" cy="2927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328295</xdr:colOff>
      <xdr:row>23</xdr:row>
      <xdr:rowOff>100965</xdr:rowOff>
    </xdr:from>
    <xdr:to>
      <xdr:col>44</xdr:col>
      <xdr:colOff>483235</xdr:colOff>
      <xdr:row>41</xdr:row>
      <xdr:rowOff>65405</xdr:rowOff>
    </xdr:to>
    <xdr:graphicFrame>
      <xdr:nvGraphicFramePr>
        <xdr:cNvPr id="9" name="Chart 8"/>
        <xdr:cNvGraphicFramePr/>
      </xdr:nvGraphicFramePr>
      <xdr:xfrm>
        <a:off x="38611175" y="5008245"/>
        <a:ext cx="8201660" cy="380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12700</xdr:colOff>
      <xdr:row>0</xdr:row>
      <xdr:rowOff>12700</xdr:rowOff>
    </xdr:from>
    <xdr:to>
      <xdr:col>21</xdr:col>
      <xdr:colOff>75565</xdr:colOff>
      <xdr:row>2</xdr:row>
      <xdr:rowOff>125095</xdr:rowOff>
    </xdr:to>
    <xdr:sp>
      <xdr:nvSpPr>
        <xdr:cNvPr id="3" name="Rectangle 2"/>
        <xdr:cNvSpPr/>
      </xdr:nvSpPr>
      <xdr:spPr>
        <a:xfrm>
          <a:off x="12700" y="12700"/>
          <a:ext cx="15424785" cy="539115"/>
        </a:xfrm>
        <a:prstGeom prst="rect">
          <a:avLst/>
        </a:prstGeom>
        <a:solidFill>
          <a:schemeClr val="accent2">
            <a:lumMod val="50000"/>
          </a:schemeClr>
        </a:solidFill>
        <a:ln w="12700" cap="flat" cmpd="sng">
          <a:noFill/>
          <a:prstDash val="solid"/>
          <a:miter lim="800000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3200"/>
            <a:t>AJERO CINEMA</a:t>
          </a:r>
          <a:endParaRPr lang="en-US" sz="3200"/>
        </a:p>
      </xdr:txBody>
    </xdr:sp>
    <xdr:clientData/>
  </xdr:twoCellAnchor>
  <xdr:twoCellAnchor>
    <xdr:from>
      <xdr:col>0</xdr:col>
      <xdr:colOff>97790</xdr:colOff>
      <xdr:row>2</xdr:row>
      <xdr:rowOff>199390</xdr:rowOff>
    </xdr:from>
    <xdr:to>
      <xdr:col>9</xdr:col>
      <xdr:colOff>522605</xdr:colOff>
      <xdr:row>12</xdr:row>
      <xdr:rowOff>151765</xdr:rowOff>
    </xdr:to>
    <xdr:sp>
      <xdr:nvSpPr>
        <xdr:cNvPr id="4" name="Rectangle 3"/>
        <xdr:cNvSpPr/>
      </xdr:nvSpPr>
      <xdr:spPr>
        <a:xfrm>
          <a:off x="97790" y="626110"/>
          <a:ext cx="7008495" cy="2085975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 b="1">
              <a:solidFill>
                <a:sysClr val="windowText" lastClr="000000"/>
              </a:solidFill>
            </a:rPr>
            <a:t>Film Cinema Ratinngs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54610</xdr:colOff>
      <xdr:row>26</xdr:row>
      <xdr:rowOff>26035</xdr:rowOff>
    </xdr:from>
    <xdr:to>
      <xdr:col>19</xdr:col>
      <xdr:colOff>700405</xdr:colOff>
      <xdr:row>39</xdr:row>
      <xdr:rowOff>128905</xdr:rowOff>
    </xdr:to>
    <xdr:sp>
      <xdr:nvSpPr>
        <xdr:cNvPr id="6" name="Rectangle 5"/>
        <xdr:cNvSpPr/>
      </xdr:nvSpPr>
      <xdr:spPr>
        <a:xfrm>
          <a:off x="54610" y="5573395"/>
          <a:ext cx="14544675" cy="287655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</a:rPr>
            <a:t>Box Office and Budget Analysis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34290</xdr:colOff>
      <xdr:row>13</xdr:row>
      <xdr:rowOff>114935</xdr:rowOff>
    </xdr:from>
    <xdr:to>
      <xdr:col>9</xdr:col>
      <xdr:colOff>489585</xdr:colOff>
      <xdr:row>25</xdr:row>
      <xdr:rowOff>64770</xdr:rowOff>
    </xdr:to>
    <xdr:sp>
      <xdr:nvSpPr>
        <xdr:cNvPr id="7" name="Rectangle 6"/>
        <xdr:cNvSpPr/>
      </xdr:nvSpPr>
      <xdr:spPr>
        <a:xfrm>
          <a:off x="34290" y="2888615"/>
          <a:ext cx="7038975" cy="2510155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</a:rPr>
            <a:t>Yearly Revenue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614045</xdr:colOff>
      <xdr:row>2</xdr:row>
      <xdr:rowOff>196850</xdr:rowOff>
    </xdr:from>
    <xdr:to>
      <xdr:col>19</xdr:col>
      <xdr:colOff>702310</xdr:colOff>
      <xdr:row>12</xdr:row>
      <xdr:rowOff>151130</xdr:rowOff>
    </xdr:to>
    <xdr:sp>
      <xdr:nvSpPr>
        <xdr:cNvPr id="8" name="Rectangle 7"/>
        <xdr:cNvSpPr/>
      </xdr:nvSpPr>
      <xdr:spPr>
        <a:xfrm>
          <a:off x="7197725" y="623570"/>
          <a:ext cx="7403465" cy="208788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</a:rPr>
            <a:t>Film Scores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626745</xdr:colOff>
      <xdr:row>13</xdr:row>
      <xdr:rowOff>126365</xdr:rowOff>
    </xdr:from>
    <xdr:to>
      <xdr:col>19</xdr:col>
      <xdr:colOff>700405</xdr:colOff>
      <xdr:row>25</xdr:row>
      <xdr:rowOff>64135</xdr:rowOff>
    </xdr:to>
    <xdr:sp>
      <xdr:nvSpPr>
        <xdr:cNvPr id="9" name="Rectangle 8"/>
        <xdr:cNvSpPr/>
      </xdr:nvSpPr>
      <xdr:spPr>
        <a:xfrm>
          <a:off x="7210425" y="2900045"/>
          <a:ext cx="7388860" cy="249809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ysClr val="windowText" lastClr="000000"/>
              </a:solidFill>
            </a:rPr>
            <a:t>Director’s Net Revenue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128270</xdr:colOff>
      <xdr:row>4</xdr:row>
      <xdr:rowOff>81915</xdr:rowOff>
    </xdr:from>
    <xdr:to>
      <xdr:col>9</xdr:col>
      <xdr:colOff>515620</xdr:colOff>
      <xdr:row>12</xdr:row>
      <xdr:rowOff>156210</xdr:rowOff>
    </xdr:to>
    <xdr:graphicFrame>
      <xdr:nvGraphicFramePr>
        <xdr:cNvPr id="11" name="Chart 10"/>
        <xdr:cNvGraphicFramePr/>
      </xdr:nvGraphicFramePr>
      <xdr:xfrm>
        <a:off x="128270" y="935355"/>
        <a:ext cx="6971030" cy="1781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680085</xdr:colOff>
      <xdr:row>14</xdr:row>
      <xdr:rowOff>111125</xdr:rowOff>
    </xdr:from>
    <xdr:to>
      <xdr:col>19</xdr:col>
      <xdr:colOff>623570</xdr:colOff>
      <xdr:row>25</xdr:row>
      <xdr:rowOff>22860</xdr:rowOff>
    </xdr:to>
    <xdr:graphicFrame>
      <xdr:nvGraphicFramePr>
        <xdr:cNvPr id="12" name="Chart 11"/>
        <xdr:cNvGraphicFramePr/>
      </xdr:nvGraphicFramePr>
      <xdr:xfrm>
        <a:off x="7263765" y="3098165"/>
        <a:ext cx="7258685" cy="2258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107315</xdr:colOff>
      <xdr:row>14</xdr:row>
      <xdr:rowOff>93345</xdr:rowOff>
    </xdr:from>
    <xdr:to>
      <xdr:col>9</xdr:col>
      <xdr:colOff>487680</xdr:colOff>
      <xdr:row>25</xdr:row>
      <xdr:rowOff>44450</xdr:rowOff>
    </xdr:to>
    <xdr:graphicFrame>
      <xdr:nvGraphicFramePr>
        <xdr:cNvPr id="13" name="Chart 12"/>
        <xdr:cNvGraphicFramePr/>
      </xdr:nvGraphicFramePr>
      <xdr:xfrm>
        <a:off x="107315" y="3080385"/>
        <a:ext cx="6964045" cy="2298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687705</xdr:colOff>
      <xdr:row>3</xdr:row>
      <xdr:rowOff>121920</xdr:rowOff>
    </xdr:from>
    <xdr:to>
      <xdr:col>19</xdr:col>
      <xdr:colOff>715645</xdr:colOff>
      <xdr:row>12</xdr:row>
      <xdr:rowOff>114935</xdr:rowOff>
    </xdr:to>
    <xdr:graphicFrame>
      <xdr:nvGraphicFramePr>
        <xdr:cNvPr id="16" name="Chart 15"/>
        <xdr:cNvGraphicFramePr/>
      </xdr:nvGraphicFramePr>
      <xdr:xfrm>
        <a:off x="7271385" y="762000"/>
        <a:ext cx="7343140" cy="1913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117475</xdr:colOff>
      <xdr:row>27</xdr:row>
      <xdr:rowOff>38100</xdr:rowOff>
    </xdr:from>
    <xdr:to>
      <xdr:col>19</xdr:col>
      <xdr:colOff>657225</xdr:colOff>
      <xdr:row>39</xdr:row>
      <xdr:rowOff>66675</xdr:rowOff>
    </xdr:to>
    <xdr:graphicFrame>
      <xdr:nvGraphicFramePr>
        <xdr:cNvPr id="17" name="Chart 16"/>
        <xdr:cNvGraphicFramePr/>
      </xdr:nvGraphicFramePr>
      <xdr:xfrm>
        <a:off x="117475" y="5798820"/>
        <a:ext cx="14438630" cy="2588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4.3511921296" refreshedBy="formula" recordCount="28">
  <cacheSource type="worksheet">
    <worksheetSource name="Table1"/>
  </cacheSource>
  <cacheFields count="17">
    <cacheField name="film" numFmtId="0">
      <sharedItems count="28">
        <s v="Toy Story"/>
        <s v="A Bug's Life"/>
        <s v="Toy Story 2"/>
        <s v="Monsters, Inc."/>
        <s v="Finding Nemo"/>
        <s v="The Incredibles"/>
        <s v="Cars"/>
        <s v="Ratatouille"/>
        <s v="WALL-E"/>
        <s v="Up"/>
        <s v="Toy Story 3"/>
        <s v="Cars 2"/>
        <s v="Brave"/>
        <s v="Monsters University"/>
        <s v="Inside Out"/>
        <s v="The Good Dinosaur"/>
        <s v="Finding Dory"/>
        <s v="Cars 3"/>
        <s v="Coco"/>
        <s v="Incredibles 2"/>
        <s v="Toy Story 4"/>
        <s v="Onward"/>
        <s v="Soul"/>
        <s v="Luca"/>
        <s v="Turning Red"/>
        <s v="Lightyear"/>
        <s v="Elemental"/>
        <s v="Inside Out 2"/>
      </sharedItems>
    </cacheField>
    <cacheField name="budget" numFmtId="176">
      <sharedItems containsNumber="1" containsInteger="1" containsMixedTypes="1" count="12">
        <n v="30000000"/>
        <n v="120000000"/>
        <n v="90000000"/>
        <n v="115000000"/>
        <n v="94000000"/>
        <n v="92000000"/>
        <n v="150000000"/>
        <n v="180000000"/>
        <n v="175000000"/>
        <n v="200000000"/>
        <n v="185000000"/>
        <s v="NA"/>
      </sharedItems>
    </cacheField>
    <cacheField name="box_office_us_canada" numFmtId="176">
      <sharedItems containsSemiMixedTypes="0" containsString="0" containsNumber="1" containsInteger="1" minValue="946154" maxValue="652980194" count="28">
        <n v="223225679"/>
        <n v="162798565"/>
        <n v="245852179"/>
        <n v="255873250"/>
        <n v="339714978"/>
        <n v="261441092"/>
        <n v="244082982"/>
        <n v="206445654"/>
        <n v="223808164"/>
        <n v="293004164"/>
        <n v="415004880"/>
        <n v="191452396"/>
        <n v="237283207"/>
        <n v="268492764"/>
        <n v="356461711"/>
        <n v="123087120"/>
        <n v="486295561"/>
        <n v="152901115"/>
        <n v="210460015"/>
        <n v="608581744"/>
        <n v="434038008"/>
        <n v="61555145"/>
        <n v="946154"/>
        <n v="1324302"/>
        <n v="1399001"/>
        <n v="118307188"/>
        <n v="154426697"/>
        <n v="652980194"/>
      </sharedItems>
    </cacheField>
    <cacheField name="box_office_other" numFmtId="176">
      <sharedItems containsSemiMixedTypes="0" containsString="0" containsNumber="1" containsInteger="1" minValue="20414357" maxValue="1045050771" count="28">
        <n v="171210907"/>
        <n v="200460294"/>
        <n v="265506097"/>
        <n v="272900000"/>
        <n v="531300000"/>
        <n v="370001000"/>
        <n v="217900167"/>
        <n v="417280431"/>
        <n v="297503696"/>
        <n v="442094918"/>
        <n v="651964823"/>
        <n v="368400000"/>
        <n v="301700000"/>
        <n v="475066843"/>
        <n v="501149463"/>
        <n v="209120551"/>
        <n v="542275328"/>
        <n v="231029541"/>
        <n v="604181157"/>
        <n v="634223615"/>
        <n v="639356585"/>
        <n v="80384897"/>
        <n v="120957731"/>
        <n v="49788012"/>
        <n v="20414357"/>
        <n v="108118232"/>
        <n v="342017611"/>
        <n v="1045050771"/>
      </sharedItems>
    </cacheField>
    <cacheField name="box_office_worldwide" numFmtId="176">
      <sharedItems containsSemiMixedTypes="0" containsString="0" containsNumber="1" containsInteger="1" minValue="21813358" maxValue="1698030965" count="28">
        <n v="394436586"/>
        <n v="363258859"/>
        <n v="511358276"/>
        <n v="528773250"/>
        <n v="871014978"/>
        <n v="631442092"/>
        <n v="461983149"/>
        <n v="623726085"/>
        <n v="521311860"/>
        <n v="735099082"/>
        <n v="1066969703"/>
        <n v="559852396"/>
        <n v="538983207"/>
        <n v="743559607"/>
        <n v="857611174"/>
        <n v="332207671"/>
        <n v="1028570889"/>
        <n v="383930656"/>
        <n v="814641172"/>
        <n v="1242805359"/>
        <n v="1073394593"/>
        <n v="141940042"/>
        <n v="121903885"/>
        <n v="51112314"/>
        <n v="21813358"/>
        <n v="226425420"/>
        <n v="496444308"/>
        <n v="1698030965"/>
      </sharedItems>
    </cacheField>
    <cacheField name="net_revenue" numFmtId="176">
      <sharedItems containsNumber="1" containsInteger="1" containsMixedTypes="1" count="28">
        <n v="364436586"/>
        <n v="243258859"/>
        <n v="421358276"/>
        <n v="413773250"/>
        <n v="777014978"/>
        <n v="539442092"/>
        <n v="341983149"/>
        <n v="473726085"/>
        <n v="341311860"/>
        <n v="560099082"/>
        <n v="866969703"/>
        <n v="359852396"/>
        <n v="353983207"/>
        <n v="543559607"/>
        <n v="682611174"/>
        <n v="157207671"/>
        <n v="828570889"/>
        <n v="208930656"/>
        <n v="639641172"/>
        <n v="1042805359"/>
        <n v="873394593"/>
        <n v="-33059958"/>
        <n v="-28096115"/>
        <s v="N/A"/>
        <n v="-153186642"/>
        <n v="26425420"/>
        <n v="296444308"/>
        <n v="1498030965"/>
      </sharedItems>
    </cacheField>
    <cacheField name="rotten_tomatoes_score" numFmtId="177">
      <sharedItems containsSemiMixedTypes="0" containsString="0" containsNumber="1" containsInteger="1" minValue="40" maxValue="100" count="19">
        <n v="100"/>
        <n v="92"/>
        <n v="96"/>
        <n v="99"/>
        <n v="97"/>
        <n v="75"/>
        <n v="95"/>
        <n v="98"/>
        <n v="40"/>
        <n v="79"/>
        <n v="80"/>
        <n v="94"/>
        <n v="69"/>
        <n v="93"/>
        <n v="88"/>
        <n v="91"/>
        <n v="74"/>
        <n v="73"/>
        <n v="90"/>
      </sharedItems>
    </cacheField>
    <cacheField name="rotten_tomatoes_counts" numFmtId="177">
      <sharedItems containsSemiMixedTypes="0" containsString="0" containsNumber="1" containsInteger="1" minValue="91" maxValue="459" count="26">
        <n v="96"/>
        <n v="91"/>
        <n v="172"/>
        <n v="199"/>
        <n v="270"/>
        <n v="250"/>
        <n v="204"/>
        <n v="253"/>
        <n v="261"/>
        <n v="297"/>
        <n v="313"/>
        <n v="220"/>
        <n v="256"/>
        <n v="203"/>
        <n v="387"/>
        <n v="339"/>
        <n v="234"/>
        <n v="357"/>
        <n v="390"/>
        <n v="459"/>
        <n v="350"/>
        <n v="360"/>
        <n v="303"/>
        <n v="289"/>
        <n v="319"/>
        <n v="262"/>
      </sharedItems>
    </cacheField>
    <cacheField name="metacritic_score" numFmtId="177">
      <sharedItems containsSemiMixedTypes="0" containsString="0" containsNumber="1" containsInteger="1" minValue="57" maxValue="96" count="23">
        <n v="95"/>
        <n v="78"/>
        <n v="88"/>
        <n v="79"/>
        <n v="90"/>
        <n v="73"/>
        <n v="96"/>
        <n v="92"/>
        <n v="57"/>
        <n v="69"/>
        <n v="65"/>
        <n v="94"/>
        <n v="66"/>
        <n v="77"/>
        <n v="59"/>
        <n v="81"/>
        <n v="80"/>
        <n v="84"/>
        <n v="64"/>
        <n v="83"/>
        <n v="71"/>
        <n v="60"/>
        <n v="58"/>
      </sharedItems>
    </cacheField>
    <cacheField name="metacritic_counts" numFmtId="177">
      <sharedItems containsSemiMixedTypes="0" containsString="0" containsNumber="1" containsInteger="1" minValue="23" maxValue="59" count="16">
        <n v="26"/>
        <n v="23"/>
        <n v="34"/>
        <n v="35"/>
        <n v="38"/>
        <n v="41"/>
        <n v="39"/>
        <n v="37"/>
        <n v="55"/>
        <n v="48"/>
        <n v="51"/>
        <n v="57"/>
        <n v="56"/>
        <n v="52"/>
        <n v="45"/>
        <n v="59"/>
      </sharedItems>
    </cacheField>
    <cacheField name="imdb_score" numFmtId="177">
      <sharedItems containsSemiMixedTypes="0" containsString="0" containsNumber="1" minValue="6.1" maxValue="8.4" count="15">
        <n v="8.3"/>
        <n v="7.2"/>
        <n v="7.9"/>
        <n v="8.1"/>
        <n v="8.2"/>
        <n v="8"/>
        <n v="8.4"/>
        <n v="6.2"/>
        <n v="7.1"/>
        <n v="6.7"/>
        <n v="7.5"/>
        <n v="7.6"/>
        <n v="7.4"/>
        <n v="7"/>
        <n v="6.1"/>
      </sharedItems>
    </cacheField>
    <cacheField name="imdb_counts" numFmtId="177">
      <sharedItems containsSemiMixedTypes="0" containsString="0" containsNumber="1" containsInteger="1" minValue="127045" maxValue="1226415" count="28">
        <n v="1089101"/>
        <n v="319596"/>
        <n v="630573"/>
        <n v="1000657"/>
        <n v="1132877"/>
        <n v="828986"/>
        <n v="484034"/>
        <n v="851229"/>
        <n v="1226415"/>
        <n v="1151249"/>
        <n v="908222"/>
        <n v="225724"/>
        <n v="452012"/>
        <n v="398903"/>
        <n v="834268"/>
        <n v="130324"/>
        <n v="311793"/>
        <n v="128849"/>
        <n v="618005"/>
        <n v="341353"/>
        <n v="288783"/>
        <n v="174917"/>
        <n v="392783"/>
        <n v="202404"/>
        <n v="158649"/>
        <n v="127045"/>
        <n v="140174"/>
        <n v="168090"/>
      </sharedItems>
    </cacheField>
    <cacheField name="role_type" numFmtId="0">
      <sharedItems count="1">
        <s v="Director"/>
      </sharedItems>
    </cacheField>
    <cacheField name="name" numFmtId="0">
      <sharedItems count="14">
        <s v="John Lasseter"/>
        <s v="Pete Docter"/>
        <s v="Andrew Stanton"/>
        <s v="Brad Bird"/>
        <s v="Lee Unkrich"/>
        <s v="Mark Andrews"/>
        <s v="Dan Scanlon"/>
        <s v="Peter Sohn"/>
        <s v="Brian Fee"/>
        <s v="Josh Cooley"/>
        <s v="Jesse Andrews"/>
        <s v="Domee Shi"/>
        <s v="Angus MacLane"/>
        <s v="Kelsey Mann"/>
      </sharedItems>
    </cacheField>
    <cacheField name="release_date" numFmtId="0">
      <sharedItems containsSemiMixedTypes="0" containsString="0" containsNonDate="0" containsDate="1" minDate="1995-11-22T00:00:00" maxDate="2024-06-14T00:00:00" count="28">
        <d v="1995-11-22T00:00:00"/>
        <d v="1998-11-25T00:00:00"/>
        <d v="1999-11-24T00:00:00"/>
        <d v="2001-11-02T00:00:00"/>
        <d v="2003-05-30T00:00:00"/>
        <d v="2004-11-05T00:00:00"/>
        <d v="2006-06-09T00:00:00"/>
        <d v="2007-06-29T00:00:00"/>
        <d v="2008-06-27T00:00:00"/>
        <d v="2009-05-29T00:00:00"/>
        <d v="2010-06-18T00:00:00"/>
        <d v="2011-06-24T00:00:00"/>
        <d v="2012-06-22T00:00:00"/>
        <d v="2013-06-21T00:00:00"/>
        <d v="2015-06-19T00:00:00"/>
        <d v="2015-11-25T00:00:00"/>
        <d v="2016-06-17T00:00:00"/>
        <d v="2017-06-16T00:00:00"/>
        <d v="2017-11-22T00:00:00"/>
        <d v="2018-06-15T00:00:00"/>
        <d v="2019-06-21T00:00:00"/>
        <d v="2020-03-06T00:00:00"/>
        <d v="2020-12-25T00:00:00"/>
        <d v="2021-06-18T00:00:00"/>
        <d v="2022-03-11T00:00:00"/>
        <d v="2022-06-17T00:00:00"/>
        <d v="2023-06-16T00:00:00"/>
        <d v="2024-06-14T00:00:00"/>
      </sharedItems>
      <fieldGroup base="14">
        <rangePr groupBy="years" startDate="1995-11-22T00:00:00" endDate="2024-06-14T00:00:00" groupInterval="1"/>
        <groupItems count="32">
          <s v="&lt;22/11/1995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14/06/2024"/>
        </groupItems>
      </fieldGroup>
    </cacheField>
    <cacheField name="run_time(mins)" numFmtId="177">
      <sharedItems containsSemiMixedTypes="0" containsString="0" containsNumber="1" containsInteger="1" minValue="81" maxValue="118" count="18">
        <n v="81"/>
        <n v="95"/>
        <n v="92"/>
        <n v="100"/>
        <n v="115"/>
        <n v="116"/>
        <n v="111"/>
        <n v="98"/>
        <n v="96"/>
        <n v="103"/>
        <n v="106"/>
        <n v="93"/>
        <n v="104"/>
        <n v="97"/>
        <n v="102"/>
        <n v="105"/>
        <n v="118"/>
        <n v="101"/>
      </sharedItems>
    </cacheField>
    <cacheField name="film_rating" numFmtId="0">
      <sharedItems count="2">
        <s v="G"/>
        <s v="PG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4.3648611111" refreshedBy="formula" recordCount="29">
  <cacheSource type="worksheet">
    <worksheetSource ref="A1:R1048576" sheet="box_office"/>
  </cacheSource>
  <cacheFields count="18">
    <cacheField name="film" numFmtId="0">
      <sharedItems containsBlank="1" count="29">
        <s v="Toy Story"/>
        <s v="A Bug's Life"/>
        <s v="Toy Story 2"/>
        <s v="Monsters, Inc."/>
        <s v="Finding Nemo"/>
        <s v="The Incredibles"/>
        <s v="Cars"/>
        <s v="Ratatouille"/>
        <s v="WALL-E"/>
        <s v="Up"/>
        <s v="Toy Story 3"/>
        <s v="Cars 2"/>
        <s v="Brave"/>
        <s v="Monsters University"/>
        <s v="Inside Out"/>
        <s v="The Good Dinosaur"/>
        <s v="Finding Dory"/>
        <s v="Cars 3"/>
        <s v="Coco"/>
        <s v="Incredibles 2"/>
        <s v="Toy Story 4"/>
        <s v="Onward"/>
        <s v="Soul"/>
        <s v="Luca"/>
        <s v="Turning Red"/>
        <s v="Lightyear"/>
        <s v="Elemental"/>
        <s v="Inside Out 2"/>
        <m/>
      </sharedItems>
    </cacheField>
    <cacheField name="budget" numFmtId="176">
      <sharedItems containsBlank="1" containsNumber="1" containsInteger="1" containsMixedTypes="1" count="13">
        <n v="30000000"/>
        <n v="120000000"/>
        <n v="90000000"/>
        <n v="115000000"/>
        <n v="94000000"/>
        <n v="92000000"/>
        <n v="150000000"/>
        <n v="180000000"/>
        <n v="175000000"/>
        <n v="200000000"/>
        <n v="185000000"/>
        <s v="NA"/>
        <m/>
      </sharedItems>
    </cacheField>
    <cacheField name="box_office_us_canada" numFmtId="176">
      <sharedItems containsString="0" containsBlank="1" containsNumber="1" containsInteger="1" minValue="946154" maxValue="652980194" count="29">
        <n v="223225679"/>
        <n v="162798565"/>
        <n v="245852179"/>
        <n v="255873250"/>
        <n v="339714978"/>
        <n v="261441092"/>
        <n v="244082982"/>
        <n v="206445654"/>
        <n v="223808164"/>
        <n v="293004164"/>
        <n v="415004880"/>
        <n v="191452396"/>
        <n v="237283207"/>
        <n v="268492764"/>
        <n v="356461711"/>
        <n v="123087120"/>
        <n v="486295561"/>
        <n v="152901115"/>
        <n v="210460015"/>
        <n v="608581744"/>
        <n v="434038008"/>
        <n v="61555145"/>
        <n v="946154"/>
        <n v="1324302"/>
        <n v="1399001"/>
        <n v="118307188"/>
        <n v="154426697"/>
        <n v="652980194"/>
        <m/>
      </sharedItems>
    </cacheField>
    <cacheField name="box_office_other" numFmtId="176">
      <sharedItems containsString="0" containsBlank="1" containsNumber="1" containsInteger="1" minValue="20414357" maxValue="1045050771" count="29">
        <n v="171210907"/>
        <n v="200460294"/>
        <n v="265506097"/>
        <n v="272900000"/>
        <n v="531300000"/>
        <n v="370001000"/>
        <n v="217900167"/>
        <n v="417280431"/>
        <n v="297503696"/>
        <n v="442094918"/>
        <n v="651964823"/>
        <n v="368400000"/>
        <n v="301700000"/>
        <n v="475066843"/>
        <n v="501149463"/>
        <n v="209120551"/>
        <n v="542275328"/>
        <n v="231029541"/>
        <n v="604181157"/>
        <n v="634223615"/>
        <n v="639356585"/>
        <n v="80384897"/>
        <n v="120957731"/>
        <n v="49788012"/>
        <n v="20414357"/>
        <n v="108118232"/>
        <n v="342017611"/>
        <n v="1045050771"/>
        <m/>
      </sharedItems>
    </cacheField>
    <cacheField name="box_office_worldwide" numFmtId="176">
      <sharedItems containsString="0" containsBlank="1" containsNumber="1" containsInteger="1" minValue="21813358" maxValue="1698030965" count="29">
        <n v="394436586"/>
        <n v="363258859"/>
        <n v="511358276"/>
        <n v="528773250"/>
        <n v="871014978"/>
        <n v="631442092"/>
        <n v="461983149"/>
        <n v="623726085"/>
        <n v="521311860"/>
        <n v="735099082"/>
        <n v="1066969703"/>
        <n v="559852396"/>
        <n v="538983207"/>
        <n v="743559607"/>
        <n v="857611174"/>
        <n v="332207671"/>
        <n v="1028570889"/>
        <n v="383930656"/>
        <n v="814641172"/>
        <n v="1242805359"/>
        <n v="1073394593"/>
        <n v="141940042"/>
        <n v="121903885"/>
        <n v="51112314"/>
        <n v="21813358"/>
        <n v="226425420"/>
        <n v="496444308"/>
        <n v="1698030965"/>
        <m/>
      </sharedItems>
    </cacheField>
    <cacheField name="net_revenue" numFmtId="176">
      <sharedItems containsBlank="1" containsNumber="1" containsInteger="1" containsMixedTypes="1" count="29">
        <n v="364436586"/>
        <n v="243258859"/>
        <n v="421358276"/>
        <n v="413773250"/>
        <n v="777014978"/>
        <n v="539442092"/>
        <n v="341983149"/>
        <n v="473726085"/>
        <n v="341311860"/>
        <n v="560099082"/>
        <n v="866969703"/>
        <n v="359852396"/>
        <n v="353983207"/>
        <n v="543559607"/>
        <n v="682611174"/>
        <n v="157207671"/>
        <n v="828570889"/>
        <n v="208930656"/>
        <n v="639641172"/>
        <n v="1042805359"/>
        <n v="873394593"/>
        <n v="-33059958"/>
        <n v="-28096115"/>
        <s v="N/A"/>
        <n v="-153186642"/>
        <n v="26425420"/>
        <n v="296444308"/>
        <n v="1498030965"/>
        <m/>
      </sharedItems>
    </cacheField>
    <cacheField name="rotten_tomatoes_score" numFmtId="177">
      <sharedItems containsString="0" containsBlank="1" containsNumber="1" containsInteger="1" minValue="40" maxValue="100" count="20">
        <n v="100"/>
        <n v="92"/>
        <n v="96"/>
        <n v="99"/>
        <n v="97"/>
        <n v="75"/>
        <n v="95"/>
        <n v="98"/>
        <n v="40"/>
        <n v="79"/>
        <n v="80"/>
        <n v="94"/>
        <n v="69"/>
        <n v="93"/>
        <n v="88"/>
        <n v="91"/>
        <n v="74"/>
        <n v="73"/>
        <n v="90"/>
        <m/>
      </sharedItems>
    </cacheField>
    <cacheField name="rotten_tomatoes_counts" numFmtId="177">
      <sharedItems containsString="0" containsBlank="1" containsNumber="1" containsInteger="1" minValue="91" maxValue="459" count="27">
        <n v="96"/>
        <n v="91"/>
        <n v="172"/>
        <n v="199"/>
        <n v="270"/>
        <n v="250"/>
        <n v="204"/>
        <n v="253"/>
        <n v="261"/>
        <n v="297"/>
        <n v="313"/>
        <n v="220"/>
        <n v="256"/>
        <n v="203"/>
        <n v="387"/>
        <n v="339"/>
        <n v="234"/>
        <n v="357"/>
        <n v="390"/>
        <n v="459"/>
        <n v="350"/>
        <n v="360"/>
        <n v="303"/>
        <n v="289"/>
        <n v="319"/>
        <n v="262"/>
        <m/>
      </sharedItems>
    </cacheField>
    <cacheField name="metacritic_score" numFmtId="177">
      <sharedItems containsString="0" containsBlank="1" containsNumber="1" containsInteger="1" minValue="57" maxValue="96" count="24">
        <n v="95"/>
        <n v="78"/>
        <n v="88"/>
        <n v="79"/>
        <n v="90"/>
        <n v="73"/>
        <n v="96"/>
        <n v="92"/>
        <n v="57"/>
        <n v="69"/>
        <n v="65"/>
        <n v="94"/>
        <n v="66"/>
        <n v="77"/>
        <n v="59"/>
        <n v="81"/>
        <n v="80"/>
        <n v="84"/>
        <n v="64"/>
        <n v="83"/>
        <n v="71"/>
        <n v="60"/>
        <n v="58"/>
        <m/>
      </sharedItems>
    </cacheField>
    <cacheField name="metacritic_counts" numFmtId="177">
      <sharedItems containsString="0" containsBlank="1" containsNumber="1" containsInteger="1" minValue="23" maxValue="59" count="17">
        <n v="26"/>
        <n v="23"/>
        <n v="34"/>
        <n v="35"/>
        <n v="38"/>
        <n v="41"/>
        <n v="39"/>
        <n v="37"/>
        <n v="55"/>
        <n v="48"/>
        <n v="51"/>
        <n v="57"/>
        <n v="56"/>
        <n v="52"/>
        <n v="45"/>
        <n v="59"/>
        <m/>
      </sharedItems>
    </cacheField>
    <cacheField name="imdb_score" numFmtId="0">
      <sharedItems containsString="0" containsBlank="1" containsNumber="1" containsInteger="1" minValue="61" maxValue="84" count="16">
        <n v="83"/>
        <n v="72"/>
        <n v="79"/>
        <n v="81"/>
        <n v="82"/>
        <n v="80"/>
        <n v="84"/>
        <n v="62"/>
        <n v="71"/>
        <n v="67"/>
        <n v="75"/>
        <n v="76"/>
        <n v="74"/>
        <n v="70"/>
        <n v="61"/>
        <m/>
      </sharedItems>
    </cacheField>
    <cacheField name="imdb_counts" numFmtId="177">
      <sharedItems containsString="0" containsBlank="1" containsNumber="1" containsInteger="1" minValue="127045" maxValue="1226415" count="29">
        <n v="1089101"/>
        <n v="319596"/>
        <n v="630573"/>
        <n v="1000657"/>
        <n v="1132877"/>
        <n v="828986"/>
        <n v="484034"/>
        <n v="851229"/>
        <n v="1226415"/>
        <n v="1151249"/>
        <n v="908222"/>
        <n v="225724"/>
        <n v="452012"/>
        <n v="398903"/>
        <n v="834268"/>
        <n v="130324"/>
        <n v="311793"/>
        <n v="128849"/>
        <n v="618005"/>
        <n v="341353"/>
        <n v="288783"/>
        <n v="174917"/>
        <n v="392783"/>
        <n v="202404"/>
        <n v="158649"/>
        <n v="127045"/>
        <n v="140174"/>
        <n v="168090"/>
        <m/>
      </sharedItems>
    </cacheField>
    <cacheField name="role_type" numFmtId="0">
      <sharedItems containsBlank="1" count="2">
        <s v="Director"/>
        <m/>
      </sharedItems>
    </cacheField>
    <cacheField name="name" numFmtId="0">
      <sharedItems containsBlank="1" count="15">
        <s v="John Lasseter"/>
        <s v="Pete Docter"/>
        <s v="Andrew Stanton"/>
        <s v="Brad Bird"/>
        <s v="Lee Unkrich"/>
        <s v="Mark Andrews"/>
        <s v="Dan Scanlon"/>
        <s v="Peter Sohn"/>
        <s v="Brian Fee"/>
        <s v="Josh Cooley"/>
        <s v="Jesse Andrews"/>
        <s v="Domee Shi"/>
        <s v="Angus MacLane"/>
        <s v="Kelsey Mann"/>
        <m/>
      </sharedItems>
    </cacheField>
    <cacheField name="release_date" numFmtId="0">
      <sharedItems containsString="0" containsBlank="1" containsNonDate="0" containsDate="1" minDate="1995-11-22T00:00:00" maxDate="2024-06-14T00:00:00" count="29">
        <d v="1995-11-22T00:00:00"/>
        <d v="1998-11-25T00:00:00"/>
        <d v="1999-11-24T00:00:00"/>
        <d v="2001-11-02T00:00:00"/>
        <d v="2003-05-30T00:00:00"/>
        <d v="2004-11-05T00:00:00"/>
        <d v="2006-06-09T00:00:00"/>
        <d v="2007-06-29T00:00:00"/>
        <d v="2008-06-27T00:00:00"/>
        <d v="2009-05-29T00:00:00"/>
        <d v="2010-06-18T00:00:00"/>
        <d v="2011-06-24T00:00:00"/>
        <d v="2012-06-22T00:00:00"/>
        <d v="2013-06-21T00:00:00"/>
        <d v="2015-06-19T00:00:00"/>
        <d v="2015-11-25T00:00:00"/>
        <d v="2016-06-17T00:00:00"/>
        <d v="2017-06-16T00:00:00"/>
        <d v="2017-11-22T00:00:00"/>
        <d v="2018-06-15T00:00:00"/>
        <d v="2019-06-21T00:00:00"/>
        <d v="2020-03-06T00:00:00"/>
        <d v="2020-12-25T00:00:00"/>
        <d v="2021-06-18T00:00:00"/>
        <d v="2022-03-11T00:00:00"/>
        <d v="2022-06-17T00:00:00"/>
        <d v="2023-06-16T00:00:00"/>
        <d v="2024-06-14T00:00:00"/>
        <m/>
      </sharedItems>
    </cacheField>
    <cacheField name="run_time(mins)" numFmtId="0">
      <sharedItems containsString="0" containsBlank="1" containsNumber="1" containsInteger="1" minValue="81" maxValue="118" count="19">
        <n v="81"/>
        <n v="95"/>
        <n v="92"/>
        <n v="100"/>
        <n v="115"/>
        <n v="116"/>
        <n v="111"/>
        <n v="98"/>
        <n v="96"/>
        <n v="103"/>
        <n v="106"/>
        <n v="93"/>
        <n v="104"/>
        <n v="97"/>
        <n v="102"/>
        <n v="105"/>
        <n v="118"/>
        <n v="101"/>
        <m/>
      </sharedItems>
    </cacheField>
    <cacheField name="film_rating" numFmtId="0">
      <sharedItems containsBlank="1" count="3">
        <s v="G"/>
        <s v="PG"/>
        <m/>
      </sharedItems>
    </cacheField>
    <cacheField name="cinema _score" numFmtId="0">
      <sharedItems containsBlank="1" count="5">
        <s v="A"/>
        <s v="A+"/>
        <s v="A-"/>
        <s v="NA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0"/>
    <x v="0"/>
    <x v="1"/>
    <x v="1"/>
    <x v="0"/>
  </r>
  <r>
    <x v="2"/>
    <x v="2"/>
    <x v="2"/>
    <x v="2"/>
    <x v="2"/>
    <x v="2"/>
    <x v="0"/>
    <x v="2"/>
    <x v="2"/>
    <x v="2"/>
    <x v="2"/>
    <x v="2"/>
    <x v="0"/>
    <x v="0"/>
    <x v="2"/>
    <x v="2"/>
    <x v="0"/>
  </r>
  <r>
    <x v="3"/>
    <x v="3"/>
    <x v="3"/>
    <x v="3"/>
    <x v="3"/>
    <x v="3"/>
    <x v="2"/>
    <x v="3"/>
    <x v="3"/>
    <x v="3"/>
    <x v="3"/>
    <x v="3"/>
    <x v="0"/>
    <x v="1"/>
    <x v="3"/>
    <x v="2"/>
    <x v="0"/>
  </r>
  <r>
    <x v="4"/>
    <x v="4"/>
    <x v="4"/>
    <x v="4"/>
    <x v="4"/>
    <x v="4"/>
    <x v="3"/>
    <x v="4"/>
    <x v="4"/>
    <x v="4"/>
    <x v="4"/>
    <x v="4"/>
    <x v="0"/>
    <x v="2"/>
    <x v="4"/>
    <x v="3"/>
    <x v="0"/>
  </r>
  <r>
    <x v="5"/>
    <x v="5"/>
    <x v="5"/>
    <x v="5"/>
    <x v="5"/>
    <x v="5"/>
    <x v="4"/>
    <x v="5"/>
    <x v="4"/>
    <x v="5"/>
    <x v="5"/>
    <x v="5"/>
    <x v="0"/>
    <x v="3"/>
    <x v="5"/>
    <x v="4"/>
    <x v="1"/>
  </r>
  <r>
    <x v="6"/>
    <x v="1"/>
    <x v="6"/>
    <x v="6"/>
    <x v="6"/>
    <x v="6"/>
    <x v="5"/>
    <x v="6"/>
    <x v="5"/>
    <x v="6"/>
    <x v="1"/>
    <x v="6"/>
    <x v="0"/>
    <x v="0"/>
    <x v="6"/>
    <x v="5"/>
    <x v="0"/>
  </r>
  <r>
    <x v="7"/>
    <x v="6"/>
    <x v="7"/>
    <x v="7"/>
    <x v="7"/>
    <x v="7"/>
    <x v="2"/>
    <x v="7"/>
    <x v="6"/>
    <x v="7"/>
    <x v="3"/>
    <x v="7"/>
    <x v="0"/>
    <x v="3"/>
    <x v="7"/>
    <x v="6"/>
    <x v="0"/>
  </r>
  <r>
    <x v="8"/>
    <x v="7"/>
    <x v="8"/>
    <x v="8"/>
    <x v="8"/>
    <x v="8"/>
    <x v="6"/>
    <x v="8"/>
    <x v="0"/>
    <x v="6"/>
    <x v="6"/>
    <x v="8"/>
    <x v="0"/>
    <x v="2"/>
    <x v="8"/>
    <x v="7"/>
    <x v="0"/>
  </r>
  <r>
    <x v="9"/>
    <x v="8"/>
    <x v="9"/>
    <x v="9"/>
    <x v="9"/>
    <x v="9"/>
    <x v="7"/>
    <x v="9"/>
    <x v="2"/>
    <x v="7"/>
    <x v="0"/>
    <x v="9"/>
    <x v="0"/>
    <x v="1"/>
    <x v="9"/>
    <x v="8"/>
    <x v="1"/>
  </r>
  <r>
    <x v="10"/>
    <x v="9"/>
    <x v="10"/>
    <x v="10"/>
    <x v="10"/>
    <x v="10"/>
    <x v="7"/>
    <x v="10"/>
    <x v="7"/>
    <x v="6"/>
    <x v="0"/>
    <x v="10"/>
    <x v="0"/>
    <x v="4"/>
    <x v="10"/>
    <x v="9"/>
    <x v="0"/>
  </r>
  <r>
    <x v="11"/>
    <x v="9"/>
    <x v="11"/>
    <x v="11"/>
    <x v="11"/>
    <x v="11"/>
    <x v="8"/>
    <x v="11"/>
    <x v="8"/>
    <x v="4"/>
    <x v="7"/>
    <x v="11"/>
    <x v="0"/>
    <x v="0"/>
    <x v="11"/>
    <x v="10"/>
    <x v="0"/>
  </r>
  <r>
    <x v="12"/>
    <x v="10"/>
    <x v="12"/>
    <x v="12"/>
    <x v="12"/>
    <x v="12"/>
    <x v="9"/>
    <x v="12"/>
    <x v="9"/>
    <x v="7"/>
    <x v="8"/>
    <x v="12"/>
    <x v="0"/>
    <x v="5"/>
    <x v="12"/>
    <x v="11"/>
    <x v="1"/>
  </r>
  <r>
    <x v="13"/>
    <x v="9"/>
    <x v="13"/>
    <x v="13"/>
    <x v="13"/>
    <x v="13"/>
    <x v="10"/>
    <x v="13"/>
    <x v="10"/>
    <x v="5"/>
    <x v="1"/>
    <x v="13"/>
    <x v="0"/>
    <x v="6"/>
    <x v="13"/>
    <x v="12"/>
    <x v="0"/>
  </r>
  <r>
    <x v="14"/>
    <x v="8"/>
    <x v="14"/>
    <x v="14"/>
    <x v="14"/>
    <x v="14"/>
    <x v="7"/>
    <x v="14"/>
    <x v="11"/>
    <x v="8"/>
    <x v="3"/>
    <x v="14"/>
    <x v="0"/>
    <x v="1"/>
    <x v="14"/>
    <x v="1"/>
    <x v="1"/>
  </r>
  <r>
    <x v="15"/>
    <x v="8"/>
    <x v="15"/>
    <x v="15"/>
    <x v="15"/>
    <x v="15"/>
    <x v="5"/>
    <x v="11"/>
    <x v="12"/>
    <x v="7"/>
    <x v="9"/>
    <x v="15"/>
    <x v="0"/>
    <x v="7"/>
    <x v="15"/>
    <x v="11"/>
    <x v="1"/>
  </r>
  <r>
    <x v="16"/>
    <x v="9"/>
    <x v="16"/>
    <x v="16"/>
    <x v="16"/>
    <x v="16"/>
    <x v="11"/>
    <x v="15"/>
    <x v="13"/>
    <x v="9"/>
    <x v="1"/>
    <x v="16"/>
    <x v="0"/>
    <x v="2"/>
    <x v="16"/>
    <x v="13"/>
    <x v="1"/>
  </r>
  <r>
    <x v="17"/>
    <x v="8"/>
    <x v="17"/>
    <x v="17"/>
    <x v="17"/>
    <x v="17"/>
    <x v="12"/>
    <x v="16"/>
    <x v="14"/>
    <x v="5"/>
    <x v="9"/>
    <x v="17"/>
    <x v="0"/>
    <x v="8"/>
    <x v="17"/>
    <x v="14"/>
    <x v="0"/>
  </r>
  <r>
    <x v="18"/>
    <x v="8"/>
    <x v="18"/>
    <x v="18"/>
    <x v="18"/>
    <x v="18"/>
    <x v="4"/>
    <x v="17"/>
    <x v="15"/>
    <x v="9"/>
    <x v="6"/>
    <x v="18"/>
    <x v="0"/>
    <x v="4"/>
    <x v="18"/>
    <x v="15"/>
    <x v="1"/>
  </r>
  <r>
    <x v="19"/>
    <x v="9"/>
    <x v="19"/>
    <x v="19"/>
    <x v="19"/>
    <x v="19"/>
    <x v="13"/>
    <x v="18"/>
    <x v="16"/>
    <x v="10"/>
    <x v="10"/>
    <x v="19"/>
    <x v="0"/>
    <x v="3"/>
    <x v="19"/>
    <x v="16"/>
    <x v="1"/>
  </r>
  <r>
    <x v="20"/>
    <x v="9"/>
    <x v="20"/>
    <x v="20"/>
    <x v="20"/>
    <x v="20"/>
    <x v="4"/>
    <x v="19"/>
    <x v="17"/>
    <x v="11"/>
    <x v="11"/>
    <x v="20"/>
    <x v="0"/>
    <x v="9"/>
    <x v="20"/>
    <x v="3"/>
    <x v="0"/>
  </r>
  <r>
    <x v="21"/>
    <x v="8"/>
    <x v="21"/>
    <x v="21"/>
    <x v="21"/>
    <x v="21"/>
    <x v="14"/>
    <x v="20"/>
    <x v="18"/>
    <x v="12"/>
    <x v="12"/>
    <x v="21"/>
    <x v="0"/>
    <x v="6"/>
    <x v="21"/>
    <x v="14"/>
    <x v="1"/>
  </r>
  <r>
    <x v="22"/>
    <x v="6"/>
    <x v="22"/>
    <x v="22"/>
    <x v="22"/>
    <x v="22"/>
    <x v="6"/>
    <x v="21"/>
    <x v="19"/>
    <x v="8"/>
    <x v="5"/>
    <x v="22"/>
    <x v="0"/>
    <x v="1"/>
    <x v="22"/>
    <x v="3"/>
    <x v="1"/>
  </r>
  <r>
    <x v="23"/>
    <x v="11"/>
    <x v="23"/>
    <x v="23"/>
    <x v="23"/>
    <x v="23"/>
    <x v="15"/>
    <x v="22"/>
    <x v="20"/>
    <x v="13"/>
    <x v="12"/>
    <x v="23"/>
    <x v="0"/>
    <x v="10"/>
    <x v="23"/>
    <x v="1"/>
    <x v="1"/>
  </r>
  <r>
    <x v="24"/>
    <x v="8"/>
    <x v="24"/>
    <x v="24"/>
    <x v="24"/>
    <x v="24"/>
    <x v="6"/>
    <x v="23"/>
    <x v="19"/>
    <x v="13"/>
    <x v="13"/>
    <x v="24"/>
    <x v="0"/>
    <x v="11"/>
    <x v="24"/>
    <x v="3"/>
    <x v="1"/>
  </r>
  <r>
    <x v="25"/>
    <x v="9"/>
    <x v="25"/>
    <x v="25"/>
    <x v="25"/>
    <x v="25"/>
    <x v="16"/>
    <x v="24"/>
    <x v="21"/>
    <x v="11"/>
    <x v="14"/>
    <x v="25"/>
    <x v="0"/>
    <x v="12"/>
    <x v="25"/>
    <x v="15"/>
    <x v="1"/>
  </r>
  <r>
    <x v="26"/>
    <x v="9"/>
    <x v="26"/>
    <x v="26"/>
    <x v="26"/>
    <x v="26"/>
    <x v="17"/>
    <x v="25"/>
    <x v="22"/>
    <x v="14"/>
    <x v="13"/>
    <x v="26"/>
    <x v="0"/>
    <x v="7"/>
    <x v="26"/>
    <x v="17"/>
    <x v="1"/>
  </r>
  <r>
    <x v="27"/>
    <x v="9"/>
    <x v="27"/>
    <x v="27"/>
    <x v="27"/>
    <x v="27"/>
    <x v="18"/>
    <x v="10"/>
    <x v="5"/>
    <x v="15"/>
    <x v="11"/>
    <x v="27"/>
    <x v="0"/>
    <x v="13"/>
    <x v="27"/>
    <x v="8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0"/>
    <x v="0"/>
    <x v="1"/>
    <x v="1"/>
    <x v="0"/>
    <x v="0"/>
  </r>
  <r>
    <x v="2"/>
    <x v="2"/>
    <x v="2"/>
    <x v="2"/>
    <x v="2"/>
    <x v="2"/>
    <x v="0"/>
    <x v="2"/>
    <x v="2"/>
    <x v="2"/>
    <x v="2"/>
    <x v="2"/>
    <x v="0"/>
    <x v="0"/>
    <x v="2"/>
    <x v="2"/>
    <x v="0"/>
    <x v="1"/>
  </r>
  <r>
    <x v="3"/>
    <x v="3"/>
    <x v="3"/>
    <x v="3"/>
    <x v="3"/>
    <x v="3"/>
    <x v="2"/>
    <x v="3"/>
    <x v="3"/>
    <x v="3"/>
    <x v="3"/>
    <x v="3"/>
    <x v="0"/>
    <x v="1"/>
    <x v="3"/>
    <x v="2"/>
    <x v="0"/>
    <x v="1"/>
  </r>
  <r>
    <x v="4"/>
    <x v="4"/>
    <x v="4"/>
    <x v="4"/>
    <x v="4"/>
    <x v="4"/>
    <x v="3"/>
    <x v="4"/>
    <x v="4"/>
    <x v="4"/>
    <x v="4"/>
    <x v="4"/>
    <x v="0"/>
    <x v="2"/>
    <x v="4"/>
    <x v="3"/>
    <x v="0"/>
    <x v="1"/>
  </r>
  <r>
    <x v="5"/>
    <x v="5"/>
    <x v="5"/>
    <x v="5"/>
    <x v="5"/>
    <x v="5"/>
    <x v="4"/>
    <x v="5"/>
    <x v="4"/>
    <x v="5"/>
    <x v="5"/>
    <x v="5"/>
    <x v="0"/>
    <x v="3"/>
    <x v="5"/>
    <x v="4"/>
    <x v="1"/>
    <x v="1"/>
  </r>
  <r>
    <x v="6"/>
    <x v="1"/>
    <x v="6"/>
    <x v="6"/>
    <x v="6"/>
    <x v="6"/>
    <x v="5"/>
    <x v="6"/>
    <x v="5"/>
    <x v="6"/>
    <x v="1"/>
    <x v="6"/>
    <x v="0"/>
    <x v="0"/>
    <x v="6"/>
    <x v="5"/>
    <x v="0"/>
    <x v="0"/>
  </r>
  <r>
    <x v="7"/>
    <x v="6"/>
    <x v="7"/>
    <x v="7"/>
    <x v="7"/>
    <x v="7"/>
    <x v="2"/>
    <x v="7"/>
    <x v="6"/>
    <x v="7"/>
    <x v="3"/>
    <x v="7"/>
    <x v="0"/>
    <x v="3"/>
    <x v="7"/>
    <x v="6"/>
    <x v="0"/>
    <x v="0"/>
  </r>
  <r>
    <x v="8"/>
    <x v="7"/>
    <x v="8"/>
    <x v="8"/>
    <x v="8"/>
    <x v="8"/>
    <x v="6"/>
    <x v="8"/>
    <x v="0"/>
    <x v="6"/>
    <x v="6"/>
    <x v="8"/>
    <x v="0"/>
    <x v="2"/>
    <x v="8"/>
    <x v="7"/>
    <x v="0"/>
    <x v="0"/>
  </r>
  <r>
    <x v="9"/>
    <x v="8"/>
    <x v="9"/>
    <x v="9"/>
    <x v="9"/>
    <x v="9"/>
    <x v="7"/>
    <x v="9"/>
    <x v="2"/>
    <x v="7"/>
    <x v="0"/>
    <x v="9"/>
    <x v="0"/>
    <x v="1"/>
    <x v="9"/>
    <x v="8"/>
    <x v="1"/>
    <x v="1"/>
  </r>
  <r>
    <x v="10"/>
    <x v="9"/>
    <x v="10"/>
    <x v="10"/>
    <x v="10"/>
    <x v="10"/>
    <x v="7"/>
    <x v="10"/>
    <x v="7"/>
    <x v="6"/>
    <x v="0"/>
    <x v="10"/>
    <x v="0"/>
    <x v="4"/>
    <x v="10"/>
    <x v="9"/>
    <x v="0"/>
    <x v="0"/>
  </r>
  <r>
    <x v="11"/>
    <x v="9"/>
    <x v="11"/>
    <x v="11"/>
    <x v="11"/>
    <x v="11"/>
    <x v="8"/>
    <x v="11"/>
    <x v="8"/>
    <x v="4"/>
    <x v="7"/>
    <x v="11"/>
    <x v="0"/>
    <x v="0"/>
    <x v="11"/>
    <x v="10"/>
    <x v="0"/>
    <x v="2"/>
  </r>
  <r>
    <x v="12"/>
    <x v="10"/>
    <x v="12"/>
    <x v="12"/>
    <x v="12"/>
    <x v="12"/>
    <x v="9"/>
    <x v="12"/>
    <x v="9"/>
    <x v="7"/>
    <x v="8"/>
    <x v="12"/>
    <x v="0"/>
    <x v="5"/>
    <x v="12"/>
    <x v="11"/>
    <x v="1"/>
    <x v="0"/>
  </r>
  <r>
    <x v="13"/>
    <x v="9"/>
    <x v="13"/>
    <x v="13"/>
    <x v="13"/>
    <x v="13"/>
    <x v="10"/>
    <x v="13"/>
    <x v="10"/>
    <x v="5"/>
    <x v="1"/>
    <x v="13"/>
    <x v="0"/>
    <x v="6"/>
    <x v="13"/>
    <x v="12"/>
    <x v="0"/>
    <x v="0"/>
  </r>
  <r>
    <x v="14"/>
    <x v="8"/>
    <x v="14"/>
    <x v="14"/>
    <x v="14"/>
    <x v="14"/>
    <x v="7"/>
    <x v="14"/>
    <x v="11"/>
    <x v="8"/>
    <x v="3"/>
    <x v="14"/>
    <x v="0"/>
    <x v="1"/>
    <x v="14"/>
    <x v="1"/>
    <x v="1"/>
    <x v="0"/>
  </r>
  <r>
    <x v="15"/>
    <x v="8"/>
    <x v="15"/>
    <x v="15"/>
    <x v="15"/>
    <x v="15"/>
    <x v="5"/>
    <x v="11"/>
    <x v="12"/>
    <x v="7"/>
    <x v="9"/>
    <x v="15"/>
    <x v="0"/>
    <x v="7"/>
    <x v="15"/>
    <x v="11"/>
    <x v="1"/>
    <x v="0"/>
  </r>
  <r>
    <x v="16"/>
    <x v="9"/>
    <x v="16"/>
    <x v="16"/>
    <x v="16"/>
    <x v="16"/>
    <x v="11"/>
    <x v="15"/>
    <x v="13"/>
    <x v="9"/>
    <x v="1"/>
    <x v="16"/>
    <x v="0"/>
    <x v="2"/>
    <x v="16"/>
    <x v="13"/>
    <x v="1"/>
    <x v="0"/>
  </r>
  <r>
    <x v="17"/>
    <x v="8"/>
    <x v="17"/>
    <x v="17"/>
    <x v="17"/>
    <x v="17"/>
    <x v="12"/>
    <x v="16"/>
    <x v="14"/>
    <x v="5"/>
    <x v="9"/>
    <x v="17"/>
    <x v="0"/>
    <x v="8"/>
    <x v="17"/>
    <x v="14"/>
    <x v="0"/>
    <x v="0"/>
  </r>
  <r>
    <x v="18"/>
    <x v="8"/>
    <x v="18"/>
    <x v="18"/>
    <x v="18"/>
    <x v="18"/>
    <x v="4"/>
    <x v="17"/>
    <x v="15"/>
    <x v="9"/>
    <x v="6"/>
    <x v="18"/>
    <x v="0"/>
    <x v="4"/>
    <x v="18"/>
    <x v="15"/>
    <x v="1"/>
    <x v="1"/>
  </r>
  <r>
    <x v="19"/>
    <x v="9"/>
    <x v="19"/>
    <x v="19"/>
    <x v="19"/>
    <x v="19"/>
    <x v="13"/>
    <x v="18"/>
    <x v="16"/>
    <x v="10"/>
    <x v="10"/>
    <x v="19"/>
    <x v="0"/>
    <x v="3"/>
    <x v="19"/>
    <x v="16"/>
    <x v="1"/>
    <x v="1"/>
  </r>
  <r>
    <x v="20"/>
    <x v="9"/>
    <x v="20"/>
    <x v="20"/>
    <x v="20"/>
    <x v="20"/>
    <x v="4"/>
    <x v="19"/>
    <x v="17"/>
    <x v="11"/>
    <x v="11"/>
    <x v="20"/>
    <x v="0"/>
    <x v="9"/>
    <x v="20"/>
    <x v="3"/>
    <x v="0"/>
    <x v="0"/>
  </r>
  <r>
    <x v="21"/>
    <x v="8"/>
    <x v="21"/>
    <x v="21"/>
    <x v="21"/>
    <x v="21"/>
    <x v="14"/>
    <x v="20"/>
    <x v="18"/>
    <x v="12"/>
    <x v="12"/>
    <x v="21"/>
    <x v="0"/>
    <x v="6"/>
    <x v="21"/>
    <x v="14"/>
    <x v="1"/>
    <x v="2"/>
  </r>
  <r>
    <x v="22"/>
    <x v="6"/>
    <x v="22"/>
    <x v="22"/>
    <x v="22"/>
    <x v="22"/>
    <x v="6"/>
    <x v="21"/>
    <x v="19"/>
    <x v="8"/>
    <x v="5"/>
    <x v="22"/>
    <x v="0"/>
    <x v="1"/>
    <x v="22"/>
    <x v="3"/>
    <x v="1"/>
    <x v="3"/>
  </r>
  <r>
    <x v="23"/>
    <x v="11"/>
    <x v="23"/>
    <x v="23"/>
    <x v="23"/>
    <x v="23"/>
    <x v="15"/>
    <x v="22"/>
    <x v="20"/>
    <x v="13"/>
    <x v="12"/>
    <x v="23"/>
    <x v="0"/>
    <x v="10"/>
    <x v="23"/>
    <x v="1"/>
    <x v="1"/>
    <x v="3"/>
  </r>
  <r>
    <x v="24"/>
    <x v="8"/>
    <x v="24"/>
    <x v="24"/>
    <x v="24"/>
    <x v="24"/>
    <x v="6"/>
    <x v="23"/>
    <x v="19"/>
    <x v="13"/>
    <x v="13"/>
    <x v="24"/>
    <x v="0"/>
    <x v="11"/>
    <x v="24"/>
    <x v="3"/>
    <x v="1"/>
    <x v="3"/>
  </r>
  <r>
    <x v="25"/>
    <x v="9"/>
    <x v="25"/>
    <x v="25"/>
    <x v="25"/>
    <x v="25"/>
    <x v="16"/>
    <x v="24"/>
    <x v="21"/>
    <x v="11"/>
    <x v="14"/>
    <x v="25"/>
    <x v="0"/>
    <x v="12"/>
    <x v="25"/>
    <x v="15"/>
    <x v="1"/>
    <x v="2"/>
  </r>
  <r>
    <x v="26"/>
    <x v="9"/>
    <x v="26"/>
    <x v="26"/>
    <x v="26"/>
    <x v="26"/>
    <x v="17"/>
    <x v="25"/>
    <x v="22"/>
    <x v="14"/>
    <x v="13"/>
    <x v="26"/>
    <x v="0"/>
    <x v="7"/>
    <x v="26"/>
    <x v="17"/>
    <x v="1"/>
    <x v="0"/>
  </r>
  <r>
    <x v="27"/>
    <x v="9"/>
    <x v="27"/>
    <x v="27"/>
    <x v="27"/>
    <x v="27"/>
    <x v="18"/>
    <x v="10"/>
    <x v="5"/>
    <x v="15"/>
    <x v="11"/>
    <x v="27"/>
    <x v="0"/>
    <x v="13"/>
    <x v="27"/>
    <x v="8"/>
    <x v="1"/>
    <x v="0"/>
  </r>
  <r>
    <x v="28"/>
    <x v="12"/>
    <x v="28"/>
    <x v="28"/>
    <x v="28"/>
    <x v="28"/>
    <x v="19"/>
    <x v="26"/>
    <x v="23"/>
    <x v="16"/>
    <x v="15"/>
    <x v="28"/>
    <x v="1"/>
    <x v="14"/>
    <x v="28"/>
    <x v="18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B2:D31" firstHeaderRow="0" firstDataRow="1" firstDataCol="1"/>
  <pivotFields count="17">
    <pivotField axis="axisRow" compact="0" showAll="0">
      <items count="29">
        <item x="1"/>
        <item x="12"/>
        <item x="6"/>
        <item x="11"/>
        <item x="17"/>
        <item x="18"/>
        <item x="26"/>
        <item x="16"/>
        <item x="4"/>
        <item x="19"/>
        <item x="14"/>
        <item x="27"/>
        <item x="25"/>
        <item x="23"/>
        <item x="13"/>
        <item x="3"/>
        <item x="21"/>
        <item x="7"/>
        <item x="22"/>
        <item x="15"/>
        <item x="5"/>
        <item x="0"/>
        <item x="2"/>
        <item x="10"/>
        <item x="20"/>
        <item x="24"/>
        <item x="9"/>
        <item x="8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76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numFmtId="176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compact="0" numFmtId="176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numFmtId="177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numFmtId="177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numFmtId="177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numFmtId="177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numFmtId="177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numFmtId="177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2">
        <item x="0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79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compact="0" numFmtId="177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Film Budget" fld="1" baseField="0" baseItem="0" numFmtId="176"/>
    <dataField name="Box Office Worldwide" fld="4" baseField="0" baseItem="0" numFmtId="176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3:G18" firstHeaderRow="1" firstDataRow="1" firstDataCol="1"/>
  <pivotFields count="17">
    <pivotField compact="0" showAll="0">
      <items count="29">
        <item x="1"/>
        <item x="12"/>
        <item x="6"/>
        <item x="11"/>
        <item x="17"/>
        <item x="18"/>
        <item x="26"/>
        <item x="16"/>
        <item x="4"/>
        <item x="19"/>
        <item x="14"/>
        <item x="27"/>
        <item x="25"/>
        <item x="23"/>
        <item x="13"/>
        <item x="3"/>
        <item x="21"/>
        <item x="7"/>
        <item x="22"/>
        <item x="15"/>
        <item x="5"/>
        <item x="0"/>
        <item x="2"/>
        <item x="10"/>
        <item x="20"/>
        <item x="24"/>
        <item x="9"/>
        <item x="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76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numFmtId="176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numFmtId="176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numFmtId="177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numFmtId="177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numFmtId="177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numFmtId="177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numFmtId="177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numFmtId="177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2">
        <item x="0"/>
        <item t="default"/>
      </items>
    </pivotField>
    <pivotField axis="axisRow" compact="0" sortType="descending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79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compact="0" numFmtId="177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3"/>
  </rowFields>
  <rowItems count="15">
    <i>
      <x v="3"/>
    </i>
    <i>
      <x v="2"/>
    </i>
    <i>
      <x/>
    </i>
    <i>
      <x v="1"/>
    </i>
    <i>
      <x v="4"/>
    </i>
    <i>
      <x v="13"/>
    </i>
    <i>
      <x v="9"/>
    </i>
    <i>
      <x v="6"/>
    </i>
    <i>
      <x v="7"/>
    </i>
    <i>
      <x v="5"/>
    </i>
    <i>
      <x v="8"/>
    </i>
    <i>
      <x v="12"/>
    </i>
    <i>
      <x v="10"/>
    </i>
    <i>
      <x v="11"/>
    </i>
    <i t="grand">
      <x/>
    </i>
  </rowItems>
  <colItems count="1">
    <i/>
  </colItems>
  <dataFields count="1">
    <dataField name="Sum of net_revenue" fld="5" baseField="0" baseItem="0" numFmtId="176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20:G45" firstHeaderRow="1" firstDataRow="1" firstDataCol="1"/>
  <pivotFields count="17">
    <pivotField compact="0" showAll="0">
      <items count="29">
        <item x="1"/>
        <item x="12"/>
        <item x="6"/>
        <item x="11"/>
        <item x="17"/>
        <item x="18"/>
        <item x="26"/>
        <item x="16"/>
        <item x="4"/>
        <item x="19"/>
        <item x="14"/>
        <item x="27"/>
        <item x="25"/>
        <item x="23"/>
        <item x="13"/>
        <item x="3"/>
        <item x="21"/>
        <item x="7"/>
        <item x="22"/>
        <item x="15"/>
        <item x="5"/>
        <item x="0"/>
        <item x="2"/>
        <item x="10"/>
        <item x="20"/>
        <item x="24"/>
        <item x="9"/>
        <item x="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76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numFmtId="176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numFmtId="176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numFmtId="177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numFmtId="177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numFmtId="177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numFmtId="177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numFmtId="177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numFmtId="177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2">
        <item x="0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ortType="descending" numFmtId="179" showAll="0">
      <items count="33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31"/>
        <item x="0"/>
        <item t="default"/>
      </items>
    </pivotField>
    <pivotField compact="0" numFmtId="177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3"/>
    </i>
    <i>
      <x v="25"/>
    </i>
    <i>
      <x v="26"/>
    </i>
    <i>
      <x v="29"/>
    </i>
    <i t="grand">
      <x/>
    </i>
  </rowItems>
  <colItems count="1">
    <i/>
  </colItems>
  <dataFields count="1">
    <dataField name="Sum of net_revenue" fld="5" baseField="0" baseItem="0" numFmtId="176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I3:L32" firstHeaderRow="0" firstDataRow="1" firstDataCol="1"/>
  <pivotFields count="18">
    <pivotField axis="axisRow" compact="0" multipleItemSelectionAllowed="1" showAll="0">
      <items count="30">
        <item x="1"/>
        <item x="12"/>
        <item x="6"/>
        <item x="11"/>
        <item x="17"/>
        <item x="18"/>
        <item x="26"/>
        <item x="16"/>
        <item x="4"/>
        <item x="19"/>
        <item x="14"/>
        <item x="27"/>
        <item x="25"/>
        <item x="23"/>
        <item x="13"/>
        <item x="3"/>
        <item x="21"/>
        <item x="7"/>
        <item x="22"/>
        <item x="15"/>
        <item x="5"/>
        <item x="0"/>
        <item x="2"/>
        <item x="10"/>
        <item x="20"/>
        <item x="24"/>
        <item x="9"/>
        <item x="8"/>
        <item h="1" x="28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1"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BD Score" fld="10" baseField="0" baseItem="0"/>
    <dataField name="Metacritic Score" fld="8" baseField="0" baseItem="0"/>
    <dataField name="Rotten Tomatoe Scor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I35:L45" firstHeaderRow="0" firstDataRow="1" firstDataCol="2"/>
  <pivotFields count="18">
    <pivotField compact="0" showAll="0">
      <items count="30">
        <item x="1"/>
        <item x="12"/>
        <item x="6"/>
        <item x="11"/>
        <item x="17"/>
        <item x="18"/>
        <item x="26"/>
        <item x="16"/>
        <item x="4"/>
        <item x="19"/>
        <item x="14"/>
        <item x="27"/>
        <item x="25"/>
        <item x="23"/>
        <item x="13"/>
        <item x="3"/>
        <item x="21"/>
        <item x="7"/>
        <item x="22"/>
        <item x="15"/>
        <item x="5"/>
        <item x="0"/>
        <item x="2"/>
        <item x="10"/>
        <item x="20"/>
        <item x="24"/>
        <item x="9"/>
        <item x="8"/>
        <item x="28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1"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compact="0" multipleItemSelectionAllowed="1" showAll="0">
      <items count="4">
        <item x="0"/>
        <item x="1"/>
        <item h="1" sd="0" x="2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</pivotFields>
  <rowFields count="2">
    <field x="16"/>
    <field x="17"/>
  </rowFields>
  <rowItems count="1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Imdb score" fld="10" baseField="0" baseItem="0"/>
    <dataField name="metacritic score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N3:O32" firstHeaderRow="1" firstDataRow="1" firstDataCol="1"/>
  <pivotFields count="18">
    <pivotField axis="axisRow" compact="0" sortType="descending" multipleItemSelectionAllowed="1" showAll="0">
      <items count="30">
        <item x="1"/>
        <item x="12"/>
        <item x="6"/>
        <item x="11"/>
        <item x="17"/>
        <item x="18"/>
        <item x="26"/>
        <item x="16"/>
        <item x="4"/>
        <item x="19"/>
        <item x="14"/>
        <item x="27"/>
        <item x="25"/>
        <item x="23"/>
        <item x="13"/>
        <item x="3"/>
        <item x="21"/>
        <item x="7"/>
        <item x="22"/>
        <item x="15"/>
        <item x="5"/>
        <item x="0"/>
        <item x="2"/>
        <item x="10"/>
        <item x="20"/>
        <item x="24"/>
        <item x="9"/>
        <item x="8"/>
        <item h="1" x="2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multipleItemSelectionAllowed="1" showAll="0">
      <items count="4">
        <item x="0"/>
        <item x="1"/>
        <item h="1" sd="0"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29">
    <i>
      <x v="9"/>
    </i>
    <i>
      <x v="2"/>
    </i>
    <i>
      <x v="20"/>
    </i>
    <i>
      <x v="17"/>
    </i>
    <i>
      <x v="3"/>
    </i>
    <i>
      <x v="12"/>
    </i>
    <i>
      <x v="5"/>
    </i>
    <i>
      <x v="14"/>
    </i>
    <i>
      <x v="23"/>
    </i>
    <i>
      <x v="16"/>
    </i>
    <i>
      <x v="4"/>
    </i>
    <i>
      <x v="6"/>
    </i>
    <i>
      <x v="25"/>
    </i>
    <i>
      <x v="24"/>
    </i>
    <i>
      <x v="18"/>
    </i>
    <i>
      <x v="8"/>
    </i>
    <i>
      <x v="27"/>
    </i>
    <i>
      <x v="7"/>
    </i>
    <i>
      <x v="26"/>
    </i>
    <i>
      <x v="11"/>
    </i>
    <i>
      <x v="13"/>
    </i>
    <i>
      <x v="10"/>
    </i>
    <i>
      <x/>
    </i>
    <i>
      <x v="19"/>
    </i>
    <i>
      <x v="1"/>
    </i>
    <i>
      <x v="22"/>
    </i>
    <i>
      <x v="15"/>
    </i>
    <i>
      <x v="21"/>
    </i>
    <i t="grand">
      <x/>
    </i>
  </rowItems>
  <colItems count="1">
    <i/>
  </colItems>
  <dataFields count="1">
    <dataField name="Sum of run_time(mins)" fld="1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Q3:R18" firstHeaderRow="1" firstDataRow="1" firstDataCol="1"/>
  <pivotFields count="18">
    <pivotField compact="0" sortType="descending" multipleItemSelectionAllowed="1" showAll="0">
      <items count="30">
        <item x="1"/>
        <item x="12"/>
        <item x="6"/>
        <item x="11"/>
        <item x="17"/>
        <item x="18"/>
        <item x="26"/>
        <item x="16"/>
        <item x="4"/>
        <item x="19"/>
        <item x="14"/>
        <item x="27"/>
        <item x="25"/>
        <item x="23"/>
        <item x="13"/>
        <item x="3"/>
        <item x="21"/>
        <item x="7"/>
        <item x="22"/>
        <item x="15"/>
        <item x="5"/>
        <item x="0"/>
        <item x="2"/>
        <item x="10"/>
        <item x="20"/>
        <item x="24"/>
        <item x="9"/>
        <item x="8"/>
        <item h="1" x="28"/>
        <item t="default"/>
      </items>
      <autoSortScope>
        <pivotArea type="none" outline="0" fieldPosition="0"/>
      </autoSortScope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3">
        <item x="0"/>
        <item x="1"/>
        <item t="default"/>
      </items>
    </pivotField>
    <pivotField axis="axisRow" compact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h="1" x="14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multipleItemSelectionAllowed="1" showAll="0">
      <items count="4">
        <item x="0"/>
        <item x="1"/>
        <item h="1" sd="0"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run_time(mins)" fld="1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Q29" totalsRowShown="0">
  <autoFilter xmlns:etc="http://www.wps.cn/officeDocument/2017/etCustomData" ref="A1:Q29" etc:filterBottomFollowUsedRange="0"/>
  <tableColumns count="17">
    <tableColumn id="1" name="film"/>
    <tableColumn id="2" name="budget" dataDxfId="0"/>
    <tableColumn id="3" name="box_office_us_canada" dataDxfId="1"/>
    <tableColumn id="4" name="box_office_other" dataDxfId="2"/>
    <tableColumn id="5" name="box_office_worldwide" dataDxfId="3"/>
    <tableColumn id="6" name="net_revenue" dataDxfId="4"/>
    <tableColumn id="7" name="rotten_tomatoes_score" dataDxfId="5"/>
    <tableColumn id="8" name="rotten_tomatoes_counts" dataDxfId="6"/>
    <tableColumn id="9" name="metacritic_score" dataDxfId="7"/>
    <tableColumn id="10" name="metacritic_counts" dataDxfId="8"/>
    <tableColumn id="12" name="imdb_score" dataDxfId="9"/>
    <tableColumn id="13" name="imdb_counts" dataDxfId="10"/>
    <tableColumn id="15" name="role_type"/>
    <tableColumn id="16" name="name"/>
    <tableColumn id="19" name="release_date" dataDxfId="11"/>
    <tableColumn id="20" name="run_time(mins)" dataDxfId="12"/>
    <tableColumn id="21" name="film_rating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R1:R29" totalsRowShown="0">
  <autoFilter xmlns:etc="http://www.wps.cn/officeDocument/2017/etCustomData" ref="R1:R29" etc:filterBottomFollowUsedRange="0"/>
  <tableColumns count="1">
    <tableColumn id="1" name="cinema _scor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zoomScaleSheetLayoutView="60" workbookViewId="0">
      <selection activeCell="U18" sqref="U18"/>
    </sheetView>
  </sheetViews>
  <sheetFormatPr defaultColWidth="8.4375" defaultRowHeight="16.8"/>
  <cols>
    <col min="1" max="1" width="17.75" customWidth="1"/>
    <col min="2" max="2" width="12.75" style="1" customWidth="1"/>
    <col min="3" max="3" width="21" style="1" customWidth="1"/>
    <col min="4" max="4" width="15.9375" style="1" customWidth="1"/>
    <col min="5" max="5" width="20.5625" style="1" customWidth="1"/>
    <col min="6" max="6" width="22" style="1" customWidth="1"/>
    <col min="7" max="7" width="22" style="2" customWidth="1"/>
    <col min="8" max="8" width="23.1875" style="2" customWidth="1"/>
    <col min="9" max="9" width="16" style="2" customWidth="1"/>
    <col min="10" max="10" width="17.1875" style="2" customWidth="1"/>
    <col min="11" max="11" width="11.3125" style="3" customWidth="1"/>
    <col min="12" max="13" width="12.5" style="2" customWidth="1"/>
    <col min="14" max="14" width="9.1875" customWidth="1"/>
    <col min="15" max="15" width="14.6875" customWidth="1"/>
    <col min="16" max="16" width="12.375" style="4" customWidth="1"/>
    <col min="17" max="17" width="8.8125" style="2" customWidth="1"/>
    <col min="18" max="18" width="10.3125" customWidth="1"/>
    <col min="19" max="19" width="14" customWidth="1"/>
  </cols>
  <sheetData>
    <row r="1" spans="1:1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t="s">
        <v>12</v>
      </c>
      <c r="N1" t="s">
        <v>13</v>
      </c>
      <c r="O1" s="4" t="s">
        <v>14</v>
      </c>
      <c r="P1" s="2" t="s">
        <v>15</v>
      </c>
      <c r="Q1" t="s">
        <v>16</v>
      </c>
      <c r="R1" t="s">
        <v>17</v>
      </c>
    </row>
    <row r="2" spans="1:18">
      <c r="A2" t="s">
        <v>18</v>
      </c>
      <c r="B2" s="1">
        <v>30000000</v>
      </c>
      <c r="C2" s="1">
        <v>223225679</v>
      </c>
      <c r="D2" s="1">
        <v>171210907</v>
      </c>
      <c r="E2" s="1">
        <v>394436586</v>
      </c>
      <c r="F2" s="1">
        <v>364436586</v>
      </c>
      <c r="G2" s="2">
        <v>100</v>
      </c>
      <c r="H2" s="2">
        <v>96</v>
      </c>
      <c r="I2" s="2">
        <v>95</v>
      </c>
      <c r="J2" s="2">
        <v>26</v>
      </c>
      <c r="K2" s="2">
        <v>83</v>
      </c>
      <c r="L2" s="2">
        <v>1089101</v>
      </c>
      <c r="M2" t="s">
        <v>19</v>
      </c>
      <c r="N2" t="s">
        <v>20</v>
      </c>
      <c r="O2" s="4">
        <v>35025</v>
      </c>
      <c r="P2" s="2">
        <v>81</v>
      </c>
      <c r="Q2" t="s">
        <v>21</v>
      </c>
      <c r="R2" t="s">
        <v>22</v>
      </c>
    </row>
    <row r="3" spans="1:18">
      <c r="A3" t="s">
        <v>23</v>
      </c>
      <c r="B3" s="1">
        <v>120000000</v>
      </c>
      <c r="C3" s="1">
        <v>162798565</v>
      </c>
      <c r="D3" s="1">
        <v>200460294</v>
      </c>
      <c r="E3" s="1">
        <v>363258859</v>
      </c>
      <c r="F3" s="1">
        <v>243258859</v>
      </c>
      <c r="G3" s="2">
        <v>92</v>
      </c>
      <c r="H3" s="2">
        <v>91</v>
      </c>
      <c r="I3" s="2">
        <v>78</v>
      </c>
      <c r="J3" s="2">
        <v>23</v>
      </c>
      <c r="K3" s="2">
        <v>72</v>
      </c>
      <c r="L3" s="2">
        <v>319596</v>
      </c>
      <c r="M3" t="s">
        <v>19</v>
      </c>
      <c r="N3" t="s">
        <v>20</v>
      </c>
      <c r="O3" s="4">
        <v>36124</v>
      </c>
      <c r="P3" s="2">
        <v>95</v>
      </c>
      <c r="Q3" t="s">
        <v>21</v>
      </c>
      <c r="R3" t="s">
        <v>22</v>
      </c>
    </row>
    <row r="4" spans="1:18">
      <c r="A4" t="s">
        <v>24</v>
      </c>
      <c r="B4" s="1">
        <v>90000000</v>
      </c>
      <c r="C4" s="1">
        <v>245852179</v>
      </c>
      <c r="D4" s="1">
        <v>265506097</v>
      </c>
      <c r="E4" s="1">
        <v>511358276</v>
      </c>
      <c r="F4" s="1">
        <v>421358276</v>
      </c>
      <c r="G4" s="2">
        <v>100</v>
      </c>
      <c r="H4" s="2">
        <v>172</v>
      </c>
      <c r="I4" s="2">
        <v>88</v>
      </c>
      <c r="J4" s="2">
        <v>34</v>
      </c>
      <c r="K4" s="2">
        <v>79</v>
      </c>
      <c r="L4" s="2">
        <v>630573</v>
      </c>
      <c r="M4" t="s">
        <v>19</v>
      </c>
      <c r="N4" t="s">
        <v>20</v>
      </c>
      <c r="O4" s="4">
        <v>36488</v>
      </c>
      <c r="P4" s="2">
        <v>92</v>
      </c>
      <c r="Q4" t="s">
        <v>21</v>
      </c>
      <c r="R4" t="s">
        <v>25</v>
      </c>
    </row>
    <row r="5" spans="1:18">
      <c r="A5" t="s">
        <v>26</v>
      </c>
      <c r="B5" s="1">
        <v>115000000</v>
      </c>
      <c r="C5" s="1">
        <v>255873250</v>
      </c>
      <c r="D5" s="1">
        <v>272900000</v>
      </c>
      <c r="E5" s="1">
        <v>528773250</v>
      </c>
      <c r="F5" s="1">
        <v>413773250</v>
      </c>
      <c r="G5" s="2">
        <v>96</v>
      </c>
      <c r="H5" s="2">
        <v>199</v>
      </c>
      <c r="I5" s="2">
        <v>79</v>
      </c>
      <c r="J5" s="2">
        <v>35</v>
      </c>
      <c r="K5" s="2">
        <v>81</v>
      </c>
      <c r="L5" s="2">
        <v>1000657</v>
      </c>
      <c r="M5" t="s">
        <v>19</v>
      </c>
      <c r="N5" t="s">
        <v>27</v>
      </c>
      <c r="O5" s="4">
        <v>37197</v>
      </c>
      <c r="P5" s="2">
        <v>92</v>
      </c>
      <c r="Q5" t="s">
        <v>21</v>
      </c>
      <c r="R5" t="s">
        <v>25</v>
      </c>
    </row>
    <row r="6" spans="1:18">
      <c r="A6" t="s">
        <v>28</v>
      </c>
      <c r="B6" s="1">
        <v>94000000</v>
      </c>
      <c r="C6" s="1">
        <v>339714978</v>
      </c>
      <c r="D6" s="1">
        <v>531300000</v>
      </c>
      <c r="E6" s="1">
        <v>871014978</v>
      </c>
      <c r="F6" s="1">
        <v>777014978</v>
      </c>
      <c r="G6" s="2">
        <v>99</v>
      </c>
      <c r="H6" s="2">
        <v>270</v>
      </c>
      <c r="I6" s="2">
        <v>90</v>
      </c>
      <c r="J6" s="2">
        <v>38</v>
      </c>
      <c r="K6" s="2">
        <v>82</v>
      </c>
      <c r="L6" s="2">
        <v>1132877</v>
      </c>
      <c r="M6" t="s">
        <v>19</v>
      </c>
      <c r="N6" t="s">
        <v>29</v>
      </c>
      <c r="O6" s="4">
        <v>37771</v>
      </c>
      <c r="P6" s="2">
        <v>100</v>
      </c>
      <c r="Q6" t="s">
        <v>21</v>
      </c>
      <c r="R6" t="s">
        <v>25</v>
      </c>
    </row>
    <row r="7" spans="1:18">
      <c r="A7" t="s">
        <v>30</v>
      </c>
      <c r="B7" s="1">
        <v>92000000</v>
      </c>
      <c r="C7" s="1">
        <v>261441092</v>
      </c>
      <c r="D7" s="1">
        <v>370001000</v>
      </c>
      <c r="E7" s="1">
        <v>631442092</v>
      </c>
      <c r="F7" s="1">
        <v>539442092</v>
      </c>
      <c r="G7" s="2">
        <v>97</v>
      </c>
      <c r="H7" s="2">
        <v>250</v>
      </c>
      <c r="I7" s="2">
        <v>90</v>
      </c>
      <c r="J7" s="2">
        <v>41</v>
      </c>
      <c r="K7" s="2">
        <v>80</v>
      </c>
      <c r="L7" s="2">
        <v>828986</v>
      </c>
      <c r="M7" t="s">
        <v>19</v>
      </c>
      <c r="N7" t="s">
        <v>31</v>
      </c>
      <c r="O7" s="4">
        <v>38296</v>
      </c>
      <c r="P7" s="2">
        <v>115</v>
      </c>
      <c r="Q7" t="s">
        <v>32</v>
      </c>
      <c r="R7" t="s">
        <v>25</v>
      </c>
    </row>
    <row r="8" spans="1:18">
      <c r="A8" t="s">
        <v>33</v>
      </c>
      <c r="B8" s="1">
        <v>120000000</v>
      </c>
      <c r="C8" s="1">
        <v>244082982</v>
      </c>
      <c r="D8" s="1">
        <v>217900167</v>
      </c>
      <c r="E8" s="1">
        <v>461983149</v>
      </c>
      <c r="F8" s="1">
        <v>341983149</v>
      </c>
      <c r="G8" s="2">
        <v>75</v>
      </c>
      <c r="H8" s="2">
        <v>204</v>
      </c>
      <c r="I8" s="2">
        <v>73</v>
      </c>
      <c r="J8" s="2">
        <v>39</v>
      </c>
      <c r="K8" s="2">
        <v>72</v>
      </c>
      <c r="L8" s="2">
        <v>484034</v>
      </c>
      <c r="M8" t="s">
        <v>19</v>
      </c>
      <c r="N8" t="s">
        <v>20</v>
      </c>
      <c r="O8" s="4">
        <v>38877</v>
      </c>
      <c r="P8" s="2">
        <v>116</v>
      </c>
      <c r="Q8" t="s">
        <v>21</v>
      </c>
      <c r="R8" t="s">
        <v>22</v>
      </c>
    </row>
    <row r="9" spans="1:18">
      <c r="A9" t="s">
        <v>34</v>
      </c>
      <c r="B9" s="1">
        <v>150000000</v>
      </c>
      <c r="C9" s="1">
        <v>206445654</v>
      </c>
      <c r="D9" s="1">
        <v>417280431</v>
      </c>
      <c r="E9" s="1">
        <v>623726085</v>
      </c>
      <c r="F9" s="1">
        <v>473726085</v>
      </c>
      <c r="G9" s="2">
        <v>96</v>
      </c>
      <c r="H9" s="2">
        <v>253</v>
      </c>
      <c r="I9" s="2">
        <v>96</v>
      </c>
      <c r="J9" s="2">
        <v>37</v>
      </c>
      <c r="K9" s="2">
        <v>81</v>
      </c>
      <c r="L9" s="2">
        <v>851229</v>
      </c>
      <c r="M9" t="s">
        <v>19</v>
      </c>
      <c r="N9" t="s">
        <v>31</v>
      </c>
      <c r="O9" s="4">
        <v>39262</v>
      </c>
      <c r="P9" s="2">
        <v>111</v>
      </c>
      <c r="Q9" t="s">
        <v>21</v>
      </c>
      <c r="R9" t="s">
        <v>22</v>
      </c>
    </row>
    <row r="10" spans="1:18">
      <c r="A10" t="s">
        <v>35</v>
      </c>
      <c r="B10" s="1">
        <v>180000000</v>
      </c>
      <c r="C10" s="1">
        <v>223808164</v>
      </c>
      <c r="D10" s="1">
        <v>297503696</v>
      </c>
      <c r="E10" s="1">
        <v>521311860</v>
      </c>
      <c r="F10" s="1">
        <v>341311860</v>
      </c>
      <c r="G10" s="2">
        <v>95</v>
      </c>
      <c r="H10" s="2">
        <v>261</v>
      </c>
      <c r="I10" s="2">
        <v>95</v>
      </c>
      <c r="J10" s="2">
        <v>39</v>
      </c>
      <c r="K10" s="2">
        <v>84</v>
      </c>
      <c r="L10" s="2">
        <v>1226415</v>
      </c>
      <c r="M10" t="s">
        <v>19</v>
      </c>
      <c r="N10" t="s">
        <v>29</v>
      </c>
      <c r="O10" s="4">
        <v>39626</v>
      </c>
      <c r="P10" s="2">
        <v>98</v>
      </c>
      <c r="Q10" t="s">
        <v>21</v>
      </c>
      <c r="R10" t="s">
        <v>22</v>
      </c>
    </row>
    <row r="11" spans="1:18">
      <c r="A11" t="s">
        <v>36</v>
      </c>
      <c r="B11" s="1">
        <v>175000000</v>
      </c>
      <c r="C11" s="1">
        <v>293004164</v>
      </c>
      <c r="D11" s="1">
        <v>442094918</v>
      </c>
      <c r="E11" s="1">
        <v>735099082</v>
      </c>
      <c r="F11" s="1">
        <v>560099082</v>
      </c>
      <c r="G11" s="2">
        <v>98</v>
      </c>
      <c r="H11" s="2">
        <v>297</v>
      </c>
      <c r="I11" s="2">
        <v>88</v>
      </c>
      <c r="J11" s="2">
        <v>37</v>
      </c>
      <c r="K11" s="2">
        <v>83</v>
      </c>
      <c r="L11" s="2">
        <v>1151249</v>
      </c>
      <c r="M11" t="s">
        <v>19</v>
      </c>
      <c r="N11" t="s">
        <v>27</v>
      </c>
      <c r="O11" s="4">
        <v>39962</v>
      </c>
      <c r="P11" s="2">
        <v>96</v>
      </c>
      <c r="Q11" t="s">
        <v>32</v>
      </c>
      <c r="R11" t="s">
        <v>25</v>
      </c>
    </row>
    <row r="12" spans="1:18">
      <c r="A12" t="s">
        <v>37</v>
      </c>
      <c r="B12" s="1">
        <v>200000000</v>
      </c>
      <c r="C12" s="1">
        <v>415004880</v>
      </c>
      <c r="D12" s="1">
        <v>651964823</v>
      </c>
      <c r="E12" s="1">
        <v>1066969703</v>
      </c>
      <c r="F12" s="1">
        <v>866969703</v>
      </c>
      <c r="G12" s="2">
        <v>98</v>
      </c>
      <c r="H12" s="2">
        <v>313</v>
      </c>
      <c r="I12" s="2">
        <v>92</v>
      </c>
      <c r="J12" s="2">
        <v>39</v>
      </c>
      <c r="K12" s="2">
        <v>83</v>
      </c>
      <c r="L12" s="2">
        <v>908222</v>
      </c>
      <c r="M12" t="s">
        <v>19</v>
      </c>
      <c r="N12" t="s">
        <v>38</v>
      </c>
      <c r="O12" s="4">
        <v>40347</v>
      </c>
      <c r="P12" s="2">
        <v>103</v>
      </c>
      <c r="Q12" t="s">
        <v>21</v>
      </c>
      <c r="R12" t="s">
        <v>22</v>
      </c>
    </row>
    <row r="13" spans="1:18">
      <c r="A13" t="s">
        <v>39</v>
      </c>
      <c r="B13" s="1">
        <v>200000000</v>
      </c>
      <c r="C13" s="1">
        <v>191452396</v>
      </c>
      <c r="D13" s="1">
        <v>368400000</v>
      </c>
      <c r="E13" s="1">
        <v>559852396</v>
      </c>
      <c r="F13" s="1">
        <v>359852396</v>
      </c>
      <c r="G13" s="2">
        <v>40</v>
      </c>
      <c r="H13" s="2">
        <v>220</v>
      </c>
      <c r="I13" s="2">
        <v>57</v>
      </c>
      <c r="J13" s="2">
        <v>38</v>
      </c>
      <c r="K13" s="2">
        <v>62</v>
      </c>
      <c r="L13" s="2">
        <v>225724</v>
      </c>
      <c r="M13" t="s">
        <v>19</v>
      </c>
      <c r="N13" t="s">
        <v>20</v>
      </c>
      <c r="O13" s="4">
        <v>40718</v>
      </c>
      <c r="P13" s="2">
        <v>106</v>
      </c>
      <c r="Q13" t="s">
        <v>21</v>
      </c>
      <c r="R13" t="s">
        <v>40</v>
      </c>
    </row>
    <row r="14" spans="1:18">
      <c r="A14" t="s">
        <v>41</v>
      </c>
      <c r="B14" s="1">
        <v>185000000</v>
      </c>
      <c r="C14" s="1">
        <v>237283207</v>
      </c>
      <c r="D14" s="1">
        <v>301700000</v>
      </c>
      <c r="E14" s="1">
        <v>538983207</v>
      </c>
      <c r="F14" s="1">
        <v>353983207</v>
      </c>
      <c r="G14" s="2">
        <v>79</v>
      </c>
      <c r="H14" s="2">
        <v>256</v>
      </c>
      <c r="I14" s="2">
        <v>69</v>
      </c>
      <c r="J14" s="2">
        <v>37</v>
      </c>
      <c r="K14" s="2">
        <v>71</v>
      </c>
      <c r="L14" s="2">
        <v>452012</v>
      </c>
      <c r="M14" t="s">
        <v>19</v>
      </c>
      <c r="N14" t="s">
        <v>42</v>
      </c>
      <c r="O14" s="4">
        <v>41082</v>
      </c>
      <c r="P14" s="2">
        <v>93</v>
      </c>
      <c r="Q14" t="s">
        <v>32</v>
      </c>
      <c r="R14" t="s">
        <v>22</v>
      </c>
    </row>
    <row r="15" spans="1:18">
      <c r="A15" t="s">
        <v>43</v>
      </c>
      <c r="B15" s="1">
        <v>200000000</v>
      </c>
      <c r="C15" s="1">
        <v>268492764</v>
      </c>
      <c r="D15" s="1">
        <v>475066843</v>
      </c>
      <c r="E15" s="1">
        <v>743559607</v>
      </c>
      <c r="F15" s="1">
        <v>543559607</v>
      </c>
      <c r="G15" s="2">
        <v>80</v>
      </c>
      <c r="H15" s="2">
        <v>203</v>
      </c>
      <c r="I15" s="2">
        <v>65</v>
      </c>
      <c r="J15" s="2">
        <v>41</v>
      </c>
      <c r="K15" s="2">
        <v>72</v>
      </c>
      <c r="L15" s="2">
        <v>398903</v>
      </c>
      <c r="M15" t="s">
        <v>19</v>
      </c>
      <c r="N15" t="s">
        <v>44</v>
      </c>
      <c r="O15" s="4">
        <v>41446</v>
      </c>
      <c r="P15" s="2">
        <v>104</v>
      </c>
      <c r="Q15" t="s">
        <v>21</v>
      </c>
      <c r="R15" t="s">
        <v>22</v>
      </c>
    </row>
    <row r="16" spans="1:18">
      <c r="A16" t="s">
        <v>45</v>
      </c>
      <c r="B16" s="1">
        <v>175000000</v>
      </c>
      <c r="C16" s="1">
        <v>356461711</v>
      </c>
      <c r="D16" s="1">
        <v>501149463</v>
      </c>
      <c r="E16" s="1">
        <v>857611174</v>
      </c>
      <c r="F16" s="1">
        <v>682611174</v>
      </c>
      <c r="G16" s="2">
        <v>98</v>
      </c>
      <c r="H16" s="2">
        <v>387</v>
      </c>
      <c r="I16" s="2">
        <v>94</v>
      </c>
      <c r="J16" s="2">
        <v>55</v>
      </c>
      <c r="K16" s="2">
        <v>81</v>
      </c>
      <c r="L16" s="2">
        <v>834268</v>
      </c>
      <c r="M16" t="s">
        <v>19</v>
      </c>
      <c r="N16" t="s">
        <v>27</v>
      </c>
      <c r="O16" s="4">
        <v>42174</v>
      </c>
      <c r="P16" s="2">
        <v>95</v>
      </c>
      <c r="Q16" t="s">
        <v>32</v>
      </c>
      <c r="R16" t="s">
        <v>22</v>
      </c>
    </row>
    <row r="17" spans="1:18">
      <c r="A17" t="s">
        <v>46</v>
      </c>
      <c r="B17" s="1">
        <v>175000000</v>
      </c>
      <c r="C17" s="1">
        <v>123087120</v>
      </c>
      <c r="D17" s="1">
        <v>209120551</v>
      </c>
      <c r="E17" s="1">
        <v>332207671</v>
      </c>
      <c r="F17" s="1">
        <v>157207671</v>
      </c>
      <c r="G17" s="2">
        <v>75</v>
      </c>
      <c r="H17" s="2">
        <v>220</v>
      </c>
      <c r="I17" s="2">
        <v>66</v>
      </c>
      <c r="J17" s="2">
        <v>37</v>
      </c>
      <c r="K17" s="2">
        <v>67</v>
      </c>
      <c r="L17" s="2">
        <v>130324</v>
      </c>
      <c r="M17" t="s">
        <v>19</v>
      </c>
      <c r="N17" t="s">
        <v>47</v>
      </c>
      <c r="O17" s="4">
        <v>42333</v>
      </c>
      <c r="P17" s="2">
        <v>93</v>
      </c>
      <c r="Q17" t="s">
        <v>32</v>
      </c>
      <c r="R17" t="s">
        <v>22</v>
      </c>
    </row>
    <row r="18" spans="1:18">
      <c r="A18" t="s">
        <v>48</v>
      </c>
      <c r="B18" s="1">
        <v>200000000</v>
      </c>
      <c r="C18" s="1">
        <v>486295561</v>
      </c>
      <c r="D18" s="1">
        <v>542275328</v>
      </c>
      <c r="E18" s="1">
        <v>1028570889</v>
      </c>
      <c r="F18" s="1">
        <v>828570889</v>
      </c>
      <c r="G18" s="2">
        <v>94</v>
      </c>
      <c r="H18" s="2">
        <v>339</v>
      </c>
      <c r="I18" s="2">
        <v>77</v>
      </c>
      <c r="J18" s="2">
        <v>48</v>
      </c>
      <c r="K18" s="2">
        <v>72</v>
      </c>
      <c r="L18" s="2">
        <v>311793</v>
      </c>
      <c r="M18" t="s">
        <v>19</v>
      </c>
      <c r="N18" t="s">
        <v>29</v>
      </c>
      <c r="O18" s="4">
        <v>42538</v>
      </c>
      <c r="P18" s="2">
        <v>97</v>
      </c>
      <c r="Q18" t="s">
        <v>32</v>
      </c>
      <c r="R18" t="s">
        <v>22</v>
      </c>
    </row>
    <row r="19" spans="1:18">
      <c r="A19" t="s">
        <v>49</v>
      </c>
      <c r="B19" s="1">
        <v>175000000</v>
      </c>
      <c r="C19" s="1">
        <v>152901115</v>
      </c>
      <c r="D19" s="1">
        <v>231029541</v>
      </c>
      <c r="E19" s="1">
        <v>383930656</v>
      </c>
      <c r="F19" s="1">
        <v>208930656</v>
      </c>
      <c r="G19" s="2">
        <v>69</v>
      </c>
      <c r="H19" s="2">
        <v>234</v>
      </c>
      <c r="I19" s="2">
        <v>59</v>
      </c>
      <c r="J19" s="2">
        <v>41</v>
      </c>
      <c r="K19" s="2">
        <v>67</v>
      </c>
      <c r="L19" s="2">
        <v>128849</v>
      </c>
      <c r="M19" t="s">
        <v>19</v>
      </c>
      <c r="N19" t="s">
        <v>50</v>
      </c>
      <c r="O19" s="4">
        <v>42902</v>
      </c>
      <c r="P19" s="2">
        <v>102</v>
      </c>
      <c r="Q19" t="s">
        <v>21</v>
      </c>
      <c r="R19" t="s">
        <v>22</v>
      </c>
    </row>
    <row r="20" spans="1:18">
      <c r="A20" t="s">
        <v>51</v>
      </c>
      <c r="B20" s="1">
        <v>175000000</v>
      </c>
      <c r="C20" s="1">
        <v>210460015</v>
      </c>
      <c r="D20" s="1">
        <v>604181157</v>
      </c>
      <c r="E20" s="1">
        <v>814641172</v>
      </c>
      <c r="F20" s="1">
        <v>639641172</v>
      </c>
      <c r="G20" s="2">
        <v>97</v>
      </c>
      <c r="H20" s="2">
        <v>357</v>
      </c>
      <c r="I20" s="2">
        <v>81</v>
      </c>
      <c r="J20" s="2">
        <v>48</v>
      </c>
      <c r="K20" s="2">
        <v>84</v>
      </c>
      <c r="L20" s="2">
        <v>618005</v>
      </c>
      <c r="M20" t="s">
        <v>19</v>
      </c>
      <c r="N20" t="s">
        <v>38</v>
      </c>
      <c r="O20" s="4">
        <v>43061</v>
      </c>
      <c r="P20" s="2">
        <v>105</v>
      </c>
      <c r="Q20" t="s">
        <v>32</v>
      </c>
      <c r="R20" t="s">
        <v>25</v>
      </c>
    </row>
    <row r="21" spans="1:18">
      <c r="A21" t="s">
        <v>52</v>
      </c>
      <c r="B21" s="1">
        <v>200000000</v>
      </c>
      <c r="C21" s="1">
        <v>608581744</v>
      </c>
      <c r="D21" s="1">
        <v>634223615</v>
      </c>
      <c r="E21" s="1">
        <v>1242805359</v>
      </c>
      <c r="F21" s="1">
        <v>1042805359</v>
      </c>
      <c r="G21" s="2">
        <v>93</v>
      </c>
      <c r="H21" s="2">
        <v>390</v>
      </c>
      <c r="I21" s="2">
        <v>80</v>
      </c>
      <c r="J21" s="2">
        <v>51</v>
      </c>
      <c r="K21" s="2">
        <v>75</v>
      </c>
      <c r="L21" s="2">
        <v>341353</v>
      </c>
      <c r="M21" t="s">
        <v>19</v>
      </c>
      <c r="N21" t="s">
        <v>31</v>
      </c>
      <c r="O21" s="4">
        <v>43266</v>
      </c>
      <c r="P21" s="2">
        <v>118</v>
      </c>
      <c r="Q21" t="s">
        <v>32</v>
      </c>
      <c r="R21" t="s">
        <v>25</v>
      </c>
    </row>
    <row r="22" spans="1:18">
      <c r="A22" t="s">
        <v>53</v>
      </c>
      <c r="B22" s="1">
        <v>200000000</v>
      </c>
      <c r="C22" s="1">
        <v>434038008</v>
      </c>
      <c r="D22" s="1">
        <v>639356585</v>
      </c>
      <c r="E22" s="1">
        <v>1073394593</v>
      </c>
      <c r="F22" s="1">
        <v>873394593</v>
      </c>
      <c r="G22" s="2">
        <v>97</v>
      </c>
      <c r="H22" s="2">
        <v>459</v>
      </c>
      <c r="I22" s="2">
        <v>84</v>
      </c>
      <c r="J22" s="2">
        <v>57</v>
      </c>
      <c r="K22" s="2">
        <v>76</v>
      </c>
      <c r="L22" s="2">
        <v>288783</v>
      </c>
      <c r="M22" t="s">
        <v>19</v>
      </c>
      <c r="N22" t="s">
        <v>54</v>
      </c>
      <c r="O22" s="4">
        <v>43637</v>
      </c>
      <c r="P22" s="2">
        <v>100</v>
      </c>
      <c r="Q22" t="s">
        <v>21</v>
      </c>
      <c r="R22" t="s">
        <v>22</v>
      </c>
    </row>
    <row r="23" spans="1:18">
      <c r="A23" t="s">
        <v>55</v>
      </c>
      <c r="B23" s="1">
        <v>175000000</v>
      </c>
      <c r="C23" s="1">
        <v>61555145</v>
      </c>
      <c r="D23" s="1">
        <v>80384897</v>
      </c>
      <c r="E23" s="1">
        <v>141940042</v>
      </c>
      <c r="F23" s="1">
        <v>-33059958</v>
      </c>
      <c r="G23" s="2">
        <v>88</v>
      </c>
      <c r="H23" s="2">
        <v>350</v>
      </c>
      <c r="I23" s="2">
        <v>64</v>
      </c>
      <c r="J23" s="2">
        <v>56</v>
      </c>
      <c r="K23" s="2">
        <v>74</v>
      </c>
      <c r="L23" s="2">
        <v>174917</v>
      </c>
      <c r="M23" t="s">
        <v>19</v>
      </c>
      <c r="N23" t="s">
        <v>44</v>
      </c>
      <c r="O23" s="4">
        <v>43896</v>
      </c>
      <c r="P23" s="2">
        <v>102</v>
      </c>
      <c r="Q23" t="s">
        <v>32</v>
      </c>
      <c r="R23" t="s">
        <v>40</v>
      </c>
    </row>
    <row r="24" spans="1:18">
      <c r="A24" t="s">
        <v>56</v>
      </c>
      <c r="B24" s="1">
        <v>150000000</v>
      </c>
      <c r="C24" s="1">
        <v>946154</v>
      </c>
      <c r="D24" s="1">
        <v>120957731</v>
      </c>
      <c r="E24" s="1">
        <v>121903885</v>
      </c>
      <c r="F24" s="1">
        <v>-28096115</v>
      </c>
      <c r="G24" s="2">
        <v>95</v>
      </c>
      <c r="H24" s="2">
        <v>360</v>
      </c>
      <c r="I24" s="2">
        <v>83</v>
      </c>
      <c r="J24" s="2">
        <v>55</v>
      </c>
      <c r="K24" s="2">
        <v>80</v>
      </c>
      <c r="L24" s="2">
        <v>392783</v>
      </c>
      <c r="M24" t="s">
        <v>19</v>
      </c>
      <c r="N24" t="s">
        <v>27</v>
      </c>
      <c r="O24" s="4">
        <v>44190</v>
      </c>
      <c r="P24" s="2">
        <v>100</v>
      </c>
      <c r="Q24" t="s">
        <v>32</v>
      </c>
      <c r="R24" t="s">
        <v>57</v>
      </c>
    </row>
    <row r="25" spans="1:18">
      <c r="A25" t="s">
        <v>58</v>
      </c>
      <c r="B25" s="1" t="s">
        <v>57</v>
      </c>
      <c r="C25" s="1">
        <v>1324302</v>
      </c>
      <c r="D25" s="1">
        <v>49788012</v>
      </c>
      <c r="E25" s="1">
        <v>51112314</v>
      </c>
      <c r="F25" s="1" t="s">
        <v>59</v>
      </c>
      <c r="G25" s="2">
        <v>91</v>
      </c>
      <c r="H25" s="2">
        <v>303</v>
      </c>
      <c r="I25" s="2">
        <v>71</v>
      </c>
      <c r="J25" s="2">
        <v>52</v>
      </c>
      <c r="K25" s="2">
        <v>74</v>
      </c>
      <c r="L25" s="2">
        <v>202404</v>
      </c>
      <c r="M25" t="s">
        <v>19</v>
      </c>
      <c r="N25" t="s">
        <v>60</v>
      </c>
      <c r="O25" s="4">
        <v>44365</v>
      </c>
      <c r="P25" s="2">
        <v>95</v>
      </c>
      <c r="Q25" t="s">
        <v>32</v>
      </c>
      <c r="R25" t="s">
        <v>57</v>
      </c>
    </row>
    <row r="26" spans="1:18">
      <c r="A26" t="s">
        <v>61</v>
      </c>
      <c r="B26" s="1">
        <v>175000000</v>
      </c>
      <c r="C26" s="1">
        <v>1399001</v>
      </c>
      <c r="D26" s="1">
        <v>20414357</v>
      </c>
      <c r="E26" s="1">
        <v>21813358</v>
      </c>
      <c r="F26" s="1">
        <v>-153186642</v>
      </c>
      <c r="G26" s="2">
        <v>95</v>
      </c>
      <c r="H26" s="2">
        <v>289</v>
      </c>
      <c r="I26" s="2">
        <v>83</v>
      </c>
      <c r="J26" s="2">
        <v>52</v>
      </c>
      <c r="K26" s="2">
        <v>70</v>
      </c>
      <c r="L26" s="2">
        <v>158649</v>
      </c>
      <c r="M26" t="s">
        <v>19</v>
      </c>
      <c r="N26" t="s">
        <v>62</v>
      </c>
      <c r="O26" s="4">
        <v>44631</v>
      </c>
      <c r="P26" s="2">
        <v>100</v>
      </c>
      <c r="Q26" t="s">
        <v>32</v>
      </c>
      <c r="R26" t="s">
        <v>57</v>
      </c>
    </row>
    <row r="27" spans="1:18">
      <c r="A27" t="s">
        <v>63</v>
      </c>
      <c r="B27" s="1">
        <v>200000000</v>
      </c>
      <c r="C27" s="1">
        <v>118307188</v>
      </c>
      <c r="D27" s="1">
        <v>108118232</v>
      </c>
      <c r="E27" s="1">
        <v>226425420</v>
      </c>
      <c r="F27" s="1">
        <v>26425420</v>
      </c>
      <c r="G27" s="2">
        <v>74</v>
      </c>
      <c r="H27" s="2">
        <v>319</v>
      </c>
      <c r="I27" s="2">
        <v>60</v>
      </c>
      <c r="J27" s="2">
        <v>57</v>
      </c>
      <c r="K27" s="2">
        <v>61</v>
      </c>
      <c r="L27" s="2">
        <v>127045</v>
      </c>
      <c r="M27" t="s">
        <v>19</v>
      </c>
      <c r="N27" t="s">
        <v>64</v>
      </c>
      <c r="O27" s="4">
        <v>44729</v>
      </c>
      <c r="P27" s="2">
        <v>105</v>
      </c>
      <c r="Q27" t="s">
        <v>32</v>
      </c>
      <c r="R27" t="s">
        <v>40</v>
      </c>
    </row>
    <row r="28" spans="1:18">
      <c r="A28" t="s">
        <v>65</v>
      </c>
      <c r="B28" s="1">
        <v>200000000</v>
      </c>
      <c r="C28" s="1">
        <v>154426697</v>
      </c>
      <c r="D28" s="1">
        <v>342017611</v>
      </c>
      <c r="E28" s="1">
        <v>496444308</v>
      </c>
      <c r="F28" s="1">
        <v>296444308</v>
      </c>
      <c r="G28" s="2">
        <v>73</v>
      </c>
      <c r="H28" s="2">
        <v>262</v>
      </c>
      <c r="I28" s="2">
        <v>58</v>
      </c>
      <c r="J28" s="2">
        <v>45</v>
      </c>
      <c r="K28" s="2">
        <v>70</v>
      </c>
      <c r="L28" s="2">
        <v>140174</v>
      </c>
      <c r="M28" t="s">
        <v>19</v>
      </c>
      <c r="N28" t="s">
        <v>47</v>
      </c>
      <c r="O28" s="4">
        <v>45093</v>
      </c>
      <c r="P28" s="2">
        <v>101</v>
      </c>
      <c r="Q28" t="s">
        <v>32</v>
      </c>
      <c r="R28" t="s">
        <v>22</v>
      </c>
    </row>
    <row r="29" spans="1:18">
      <c r="A29" t="s">
        <v>66</v>
      </c>
      <c r="B29" s="1">
        <v>200000000</v>
      </c>
      <c r="C29" s="1">
        <v>652980194</v>
      </c>
      <c r="D29" s="1">
        <v>1045050771</v>
      </c>
      <c r="E29" s="1">
        <v>1698030965</v>
      </c>
      <c r="F29" s="1">
        <v>1498030965</v>
      </c>
      <c r="G29" s="2">
        <v>90</v>
      </c>
      <c r="H29" s="2">
        <v>313</v>
      </c>
      <c r="I29" s="2">
        <v>73</v>
      </c>
      <c r="J29" s="2">
        <v>59</v>
      </c>
      <c r="K29" s="2">
        <v>76</v>
      </c>
      <c r="L29" s="2">
        <v>168090</v>
      </c>
      <c r="M29" t="s">
        <v>19</v>
      </c>
      <c r="N29" t="s">
        <v>67</v>
      </c>
      <c r="O29" s="4">
        <v>45457</v>
      </c>
      <c r="P29" s="2">
        <v>96</v>
      </c>
      <c r="Q29" t="s">
        <v>32</v>
      </c>
      <c r="R29" t="s">
        <v>22</v>
      </c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45"/>
  <sheetViews>
    <sheetView topLeftCell="E5" workbookViewId="0">
      <selection activeCell="U23" sqref="U23"/>
    </sheetView>
  </sheetViews>
  <sheetFormatPr defaultColWidth="9" defaultRowHeight="16.8"/>
  <cols>
    <col min="2" max="2" width="17.75"/>
    <col min="3" max="4" width="19.375"/>
    <col min="5" max="5" width="17.75"/>
    <col min="6" max="6" width="14.6875"/>
    <col min="7" max="8" width="19.0625"/>
    <col min="9" max="9" width="17.75"/>
    <col min="10" max="10" width="16"/>
    <col min="11" max="12" width="14.4375"/>
    <col min="14" max="14" width="17.75"/>
    <col min="15" max="15" width="21.25"/>
    <col min="16" max="16" width="21.625"/>
    <col min="17" max="17" width="14.6875"/>
    <col min="18" max="19" width="21.25"/>
    <col min="20" max="20" width="28.5"/>
  </cols>
  <sheetData>
    <row r="2" spans="2:18">
      <c r="B2" t="s">
        <v>0</v>
      </c>
      <c r="C2" t="s">
        <v>68</v>
      </c>
      <c r="D2" t="s">
        <v>69</v>
      </c>
    </row>
    <row r="3" spans="2:18">
      <c r="B3" t="s">
        <v>23</v>
      </c>
      <c r="C3" s="1">
        <v>120000000</v>
      </c>
      <c r="D3" s="1">
        <v>363258859</v>
      </c>
      <c r="F3" t="s">
        <v>13</v>
      </c>
      <c r="G3" t="s">
        <v>70</v>
      </c>
      <c r="I3" t="s">
        <v>0</v>
      </c>
      <c r="J3" t="s">
        <v>71</v>
      </c>
      <c r="K3" t="s">
        <v>72</v>
      </c>
      <c r="L3" t="s">
        <v>73</v>
      </c>
      <c r="N3" t="s">
        <v>0</v>
      </c>
      <c r="O3" t="s">
        <v>74</v>
      </c>
      <c r="Q3" t="s">
        <v>13</v>
      </c>
      <c r="R3" t="s">
        <v>74</v>
      </c>
    </row>
    <row r="4" spans="2:18">
      <c r="B4" t="s">
        <v>41</v>
      </c>
      <c r="C4" s="1">
        <v>185000000</v>
      </c>
      <c r="D4" s="1">
        <v>538983207</v>
      </c>
      <c r="F4" t="s">
        <v>31</v>
      </c>
      <c r="G4" s="1">
        <v>2055973536</v>
      </c>
      <c r="I4" t="s">
        <v>23</v>
      </c>
      <c r="J4">
        <v>72</v>
      </c>
      <c r="K4">
        <v>78</v>
      </c>
      <c r="L4">
        <v>92</v>
      </c>
      <c r="N4" t="s">
        <v>52</v>
      </c>
      <c r="O4">
        <v>118</v>
      </c>
      <c r="Q4" t="s">
        <v>20</v>
      </c>
      <c r="R4">
        <v>490</v>
      </c>
    </row>
    <row r="5" spans="2:18">
      <c r="B5" t="s">
        <v>33</v>
      </c>
      <c r="C5" s="1">
        <v>120000000</v>
      </c>
      <c r="D5" s="1">
        <v>461983149</v>
      </c>
      <c r="F5" t="s">
        <v>29</v>
      </c>
      <c r="G5" s="1">
        <v>1946897727</v>
      </c>
      <c r="I5" t="s">
        <v>41</v>
      </c>
      <c r="J5">
        <v>71</v>
      </c>
      <c r="K5">
        <v>69</v>
      </c>
      <c r="L5">
        <v>79</v>
      </c>
      <c r="N5" t="s">
        <v>33</v>
      </c>
      <c r="O5">
        <v>116</v>
      </c>
      <c r="Q5" t="s">
        <v>27</v>
      </c>
      <c r="R5">
        <v>383</v>
      </c>
    </row>
    <row r="6" spans="2:18">
      <c r="B6" t="s">
        <v>39</v>
      </c>
      <c r="C6" s="1">
        <v>200000000</v>
      </c>
      <c r="D6" s="1">
        <v>559852396</v>
      </c>
      <c r="F6" t="s">
        <v>20</v>
      </c>
      <c r="G6" s="1">
        <v>1730889266</v>
      </c>
      <c r="I6" t="s">
        <v>33</v>
      </c>
      <c r="J6">
        <v>72</v>
      </c>
      <c r="K6">
        <v>73</v>
      </c>
      <c r="L6">
        <v>75</v>
      </c>
      <c r="N6" t="s">
        <v>30</v>
      </c>
      <c r="O6">
        <v>115</v>
      </c>
      <c r="Q6" t="s">
        <v>29</v>
      </c>
      <c r="R6">
        <v>295</v>
      </c>
    </row>
    <row r="7" spans="2:18">
      <c r="B7" t="s">
        <v>49</v>
      </c>
      <c r="C7" s="1">
        <v>175000000</v>
      </c>
      <c r="D7" s="1">
        <v>383930656</v>
      </c>
      <c r="F7" t="s">
        <v>27</v>
      </c>
      <c r="G7" s="1">
        <v>1628387391</v>
      </c>
      <c r="I7" t="s">
        <v>39</v>
      </c>
      <c r="J7">
        <v>62</v>
      </c>
      <c r="K7">
        <v>57</v>
      </c>
      <c r="L7">
        <v>40</v>
      </c>
      <c r="N7" t="s">
        <v>34</v>
      </c>
      <c r="O7">
        <v>111</v>
      </c>
      <c r="Q7" t="s">
        <v>31</v>
      </c>
      <c r="R7">
        <v>344</v>
      </c>
    </row>
    <row r="8" spans="2:18">
      <c r="B8" t="s">
        <v>51</v>
      </c>
      <c r="C8" s="1">
        <v>175000000</v>
      </c>
      <c r="D8" s="1">
        <v>814641172</v>
      </c>
      <c r="F8" t="s">
        <v>38</v>
      </c>
      <c r="G8" s="1">
        <v>1506610875</v>
      </c>
      <c r="I8" t="s">
        <v>49</v>
      </c>
      <c r="J8">
        <v>67</v>
      </c>
      <c r="K8">
        <v>59</v>
      </c>
      <c r="L8">
        <v>69</v>
      </c>
      <c r="N8" t="s">
        <v>39</v>
      </c>
      <c r="O8">
        <v>106</v>
      </c>
      <c r="Q8" t="s">
        <v>38</v>
      </c>
      <c r="R8">
        <v>208</v>
      </c>
    </row>
    <row r="9" spans="2:18">
      <c r="B9" t="s">
        <v>65</v>
      </c>
      <c r="C9" s="1">
        <v>200000000</v>
      </c>
      <c r="D9" s="1">
        <v>496444308</v>
      </c>
      <c r="F9" t="s">
        <v>67</v>
      </c>
      <c r="G9" s="1">
        <v>1498030965</v>
      </c>
      <c r="I9" t="s">
        <v>51</v>
      </c>
      <c r="J9">
        <v>84</v>
      </c>
      <c r="K9">
        <v>81</v>
      </c>
      <c r="L9">
        <v>97</v>
      </c>
      <c r="N9" t="s">
        <v>63</v>
      </c>
      <c r="O9">
        <v>105</v>
      </c>
      <c r="Q9" t="s">
        <v>42</v>
      </c>
      <c r="R9">
        <v>93</v>
      </c>
    </row>
    <row r="10" spans="2:18">
      <c r="B10" t="s">
        <v>48</v>
      </c>
      <c r="C10" s="1">
        <v>200000000</v>
      </c>
      <c r="D10" s="1">
        <v>1028570889</v>
      </c>
      <c r="F10" t="s">
        <v>54</v>
      </c>
      <c r="G10" s="1">
        <v>873394593</v>
      </c>
      <c r="I10" t="s">
        <v>65</v>
      </c>
      <c r="J10">
        <v>70</v>
      </c>
      <c r="K10">
        <v>58</v>
      </c>
      <c r="L10">
        <v>73</v>
      </c>
      <c r="N10" t="s">
        <v>51</v>
      </c>
      <c r="O10">
        <v>105</v>
      </c>
      <c r="Q10" t="s">
        <v>44</v>
      </c>
      <c r="R10">
        <v>206</v>
      </c>
    </row>
    <row r="11" spans="2:18">
      <c r="B11" t="s">
        <v>28</v>
      </c>
      <c r="C11" s="1">
        <v>94000000</v>
      </c>
      <c r="D11" s="1">
        <v>871014978</v>
      </c>
      <c r="F11" t="s">
        <v>44</v>
      </c>
      <c r="G11" s="1">
        <v>510499649</v>
      </c>
      <c r="I11" t="s">
        <v>48</v>
      </c>
      <c r="J11">
        <v>72</v>
      </c>
      <c r="K11">
        <v>77</v>
      </c>
      <c r="L11">
        <v>94</v>
      </c>
      <c r="N11" t="s">
        <v>43</v>
      </c>
      <c r="O11">
        <v>104</v>
      </c>
      <c r="Q11" t="s">
        <v>47</v>
      </c>
      <c r="R11">
        <v>194</v>
      </c>
    </row>
    <row r="12" spans="2:18">
      <c r="B12" t="s">
        <v>52</v>
      </c>
      <c r="C12" s="1">
        <v>200000000</v>
      </c>
      <c r="D12" s="1">
        <v>1242805359</v>
      </c>
      <c r="F12" t="s">
        <v>47</v>
      </c>
      <c r="G12" s="1">
        <v>453651979</v>
      </c>
      <c r="I12" t="s">
        <v>28</v>
      </c>
      <c r="J12">
        <v>82</v>
      </c>
      <c r="K12">
        <v>90</v>
      </c>
      <c r="L12">
        <v>99</v>
      </c>
      <c r="N12" t="s">
        <v>37</v>
      </c>
      <c r="O12">
        <v>103</v>
      </c>
      <c r="Q12" t="s">
        <v>50</v>
      </c>
      <c r="R12">
        <v>102</v>
      </c>
    </row>
    <row r="13" spans="2:18">
      <c r="B13" t="s">
        <v>45</v>
      </c>
      <c r="C13" s="1">
        <v>175000000</v>
      </c>
      <c r="D13" s="1">
        <v>857611174</v>
      </c>
      <c r="F13" t="s">
        <v>42</v>
      </c>
      <c r="G13" s="1">
        <v>353983207</v>
      </c>
      <c r="I13" t="s">
        <v>52</v>
      </c>
      <c r="J13">
        <v>75</v>
      </c>
      <c r="K13">
        <v>80</v>
      </c>
      <c r="L13">
        <v>93</v>
      </c>
      <c r="N13" t="s">
        <v>55</v>
      </c>
      <c r="O13">
        <v>102</v>
      </c>
      <c r="Q13" t="s">
        <v>54</v>
      </c>
      <c r="R13">
        <v>100</v>
      </c>
    </row>
    <row r="14" spans="2:18">
      <c r="B14" t="s">
        <v>66</v>
      </c>
      <c r="C14" s="1">
        <v>200000000</v>
      </c>
      <c r="D14" s="1">
        <v>1698030965</v>
      </c>
      <c r="F14" t="s">
        <v>50</v>
      </c>
      <c r="G14" s="1">
        <v>208930656</v>
      </c>
      <c r="I14" t="s">
        <v>45</v>
      </c>
      <c r="J14">
        <v>81</v>
      </c>
      <c r="K14">
        <v>94</v>
      </c>
      <c r="L14">
        <v>98</v>
      </c>
      <c r="N14" t="s">
        <v>49</v>
      </c>
      <c r="O14">
        <v>102</v>
      </c>
      <c r="Q14" t="s">
        <v>60</v>
      </c>
      <c r="R14">
        <v>95</v>
      </c>
    </row>
    <row r="15" spans="2:18">
      <c r="B15" t="s">
        <v>63</v>
      </c>
      <c r="C15" s="1">
        <v>200000000</v>
      </c>
      <c r="D15" s="1">
        <v>226425420</v>
      </c>
      <c r="F15" t="s">
        <v>64</v>
      </c>
      <c r="G15" s="1">
        <v>26425420</v>
      </c>
      <c r="I15" t="s">
        <v>66</v>
      </c>
      <c r="J15">
        <v>76</v>
      </c>
      <c r="K15">
        <v>73</v>
      </c>
      <c r="L15">
        <v>90</v>
      </c>
      <c r="N15" t="s">
        <v>65</v>
      </c>
      <c r="O15">
        <v>101</v>
      </c>
      <c r="Q15" t="s">
        <v>62</v>
      </c>
      <c r="R15">
        <v>100</v>
      </c>
    </row>
    <row r="16" spans="2:18">
      <c r="B16" t="s">
        <v>58</v>
      </c>
      <c r="C16" s="1">
        <v>0</v>
      </c>
      <c r="D16" s="1">
        <v>51112314</v>
      </c>
      <c r="F16" t="s">
        <v>60</v>
      </c>
      <c r="G16" s="1">
        <v>0</v>
      </c>
      <c r="I16" t="s">
        <v>63</v>
      </c>
      <c r="J16">
        <v>61</v>
      </c>
      <c r="K16">
        <v>60</v>
      </c>
      <c r="L16">
        <v>74</v>
      </c>
      <c r="N16" t="s">
        <v>61</v>
      </c>
      <c r="O16">
        <v>100</v>
      </c>
      <c r="Q16" t="s">
        <v>64</v>
      </c>
      <c r="R16">
        <v>105</v>
      </c>
    </row>
    <row r="17" spans="2:18">
      <c r="B17" t="s">
        <v>43</v>
      </c>
      <c r="C17" s="1">
        <v>200000000</v>
      </c>
      <c r="D17" s="1">
        <v>743559607</v>
      </c>
      <c r="F17" t="s">
        <v>62</v>
      </c>
      <c r="G17" s="1">
        <v>-153186642</v>
      </c>
      <c r="I17" t="s">
        <v>58</v>
      </c>
      <c r="J17">
        <v>74</v>
      </c>
      <c r="K17">
        <v>71</v>
      </c>
      <c r="L17">
        <v>91</v>
      </c>
      <c r="N17" t="s">
        <v>53</v>
      </c>
      <c r="O17">
        <v>100</v>
      </c>
      <c r="Q17" t="s">
        <v>67</v>
      </c>
      <c r="R17">
        <v>96</v>
      </c>
    </row>
    <row r="18" spans="2:18">
      <c r="B18" t="s">
        <v>26</v>
      </c>
      <c r="C18" s="1">
        <v>115000000</v>
      </c>
      <c r="D18" s="1">
        <v>528773250</v>
      </c>
      <c r="F18" t="s">
        <v>75</v>
      </c>
      <c r="G18" s="1">
        <v>12640488622</v>
      </c>
      <c r="I18" t="s">
        <v>43</v>
      </c>
      <c r="J18">
        <v>72</v>
      </c>
      <c r="K18">
        <v>65</v>
      </c>
      <c r="L18">
        <v>80</v>
      </c>
      <c r="N18" t="s">
        <v>56</v>
      </c>
      <c r="O18">
        <v>100</v>
      </c>
      <c r="Q18" t="s">
        <v>75</v>
      </c>
      <c r="R18">
        <v>2811</v>
      </c>
    </row>
    <row r="19" spans="2:18">
      <c r="B19" t="s">
        <v>55</v>
      </c>
      <c r="C19" s="1">
        <v>175000000</v>
      </c>
      <c r="D19" s="1">
        <v>141940042</v>
      </c>
      <c r="I19" t="s">
        <v>26</v>
      </c>
      <c r="J19">
        <v>81</v>
      </c>
      <c r="K19">
        <v>79</v>
      </c>
      <c r="L19">
        <v>96</v>
      </c>
      <c r="N19" t="s">
        <v>28</v>
      </c>
      <c r="O19">
        <v>100</v>
      </c>
    </row>
    <row r="20" spans="2:18">
      <c r="B20" t="s">
        <v>34</v>
      </c>
      <c r="C20" s="1">
        <v>150000000</v>
      </c>
      <c r="D20" s="1">
        <v>623726085</v>
      </c>
      <c r="F20" t="s">
        <v>14</v>
      </c>
      <c r="G20" t="s">
        <v>70</v>
      </c>
      <c r="H20"/>
      <c r="I20" t="s">
        <v>55</v>
      </c>
      <c r="J20">
        <v>74</v>
      </c>
      <c r="K20">
        <v>64</v>
      </c>
      <c r="L20">
        <v>88</v>
      </c>
      <c r="N20" t="s">
        <v>35</v>
      </c>
      <c r="O20">
        <v>98</v>
      </c>
    </row>
    <row r="21" spans="2:18">
      <c r="B21" t="s">
        <v>56</v>
      </c>
      <c r="C21" s="1">
        <v>150000000</v>
      </c>
      <c r="D21" s="1">
        <v>121903885</v>
      </c>
      <c r="F21" t="s">
        <v>76</v>
      </c>
      <c r="G21" s="1">
        <v>1498030965</v>
      </c>
      <c r="H21"/>
      <c r="I21" t="s">
        <v>34</v>
      </c>
      <c r="J21">
        <v>81</v>
      </c>
      <c r="K21">
        <v>96</v>
      </c>
      <c r="L21">
        <v>96</v>
      </c>
      <c r="N21" t="s">
        <v>48</v>
      </c>
      <c r="O21">
        <v>97</v>
      </c>
    </row>
    <row r="22" spans="2:18">
      <c r="B22" t="s">
        <v>46</v>
      </c>
      <c r="C22" s="1">
        <v>175000000</v>
      </c>
      <c r="D22" s="1">
        <v>332207671</v>
      </c>
      <c r="F22" t="s">
        <v>77</v>
      </c>
      <c r="G22" s="1">
        <v>296444308</v>
      </c>
      <c r="H22"/>
      <c r="I22" t="s">
        <v>56</v>
      </c>
      <c r="J22">
        <v>80</v>
      </c>
      <c r="K22">
        <v>83</v>
      </c>
      <c r="L22">
        <v>95</v>
      </c>
      <c r="N22" t="s">
        <v>36</v>
      </c>
      <c r="O22">
        <v>96</v>
      </c>
    </row>
    <row r="23" spans="2:18">
      <c r="B23" t="s">
        <v>30</v>
      </c>
      <c r="C23" s="1">
        <v>92000000</v>
      </c>
      <c r="D23" s="1">
        <v>631442092</v>
      </c>
      <c r="F23" t="s">
        <v>78</v>
      </c>
      <c r="G23" s="1">
        <v>-126761222</v>
      </c>
      <c r="H23"/>
      <c r="I23" t="s">
        <v>46</v>
      </c>
      <c r="J23">
        <v>67</v>
      </c>
      <c r="K23">
        <v>66</v>
      </c>
      <c r="L23">
        <v>75</v>
      </c>
      <c r="N23" t="s">
        <v>66</v>
      </c>
      <c r="O23">
        <v>96</v>
      </c>
    </row>
    <row r="24" spans="2:18">
      <c r="B24" t="s">
        <v>18</v>
      </c>
      <c r="C24" s="1">
        <v>30000000</v>
      </c>
      <c r="D24" s="1">
        <v>394436586</v>
      </c>
      <c r="F24" t="s">
        <v>79</v>
      </c>
      <c r="G24" s="1">
        <v>0</v>
      </c>
      <c r="H24"/>
      <c r="I24" t="s">
        <v>30</v>
      </c>
      <c r="J24">
        <v>80</v>
      </c>
      <c r="K24">
        <v>90</v>
      </c>
      <c r="L24">
        <v>97</v>
      </c>
      <c r="N24" t="s">
        <v>58</v>
      </c>
      <c r="O24">
        <v>95</v>
      </c>
    </row>
    <row r="25" spans="2:18">
      <c r="B25" t="s">
        <v>24</v>
      </c>
      <c r="C25" s="1">
        <v>90000000</v>
      </c>
      <c r="D25" s="1">
        <v>511358276</v>
      </c>
      <c r="F25" t="s">
        <v>80</v>
      </c>
      <c r="G25" s="1">
        <v>-61156073</v>
      </c>
      <c r="H25"/>
      <c r="I25" t="s">
        <v>18</v>
      </c>
      <c r="J25">
        <v>83</v>
      </c>
      <c r="K25">
        <v>95</v>
      </c>
      <c r="L25">
        <v>100</v>
      </c>
      <c r="N25" t="s">
        <v>45</v>
      </c>
      <c r="O25">
        <v>95</v>
      </c>
    </row>
    <row r="26" spans="2:18">
      <c r="B26" t="s">
        <v>37</v>
      </c>
      <c r="C26" s="1">
        <v>200000000</v>
      </c>
      <c r="D26" s="1">
        <v>1066969703</v>
      </c>
      <c r="F26" t="s">
        <v>81</v>
      </c>
      <c r="G26" s="1">
        <v>873394593</v>
      </c>
      <c r="H26"/>
      <c r="I26" t="s">
        <v>24</v>
      </c>
      <c r="J26">
        <v>79</v>
      </c>
      <c r="K26">
        <v>88</v>
      </c>
      <c r="L26">
        <v>100</v>
      </c>
      <c r="N26" t="s">
        <v>23</v>
      </c>
      <c r="O26">
        <v>95</v>
      </c>
    </row>
    <row r="27" spans="2:18">
      <c r="B27" t="s">
        <v>53</v>
      </c>
      <c r="C27" s="1">
        <v>200000000</v>
      </c>
      <c r="D27" s="1">
        <v>1073394593</v>
      </c>
      <c r="E27"/>
      <c r="F27" t="s">
        <v>82</v>
      </c>
      <c r="G27" s="1">
        <v>1042805359</v>
      </c>
      <c r="H27"/>
      <c r="I27" t="s">
        <v>37</v>
      </c>
      <c r="J27">
        <v>83</v>
      </c>
      <c r="K27">
        <v>92</v>
      </c>
      <c r="L27">
        <v>98</v>
      </c>
      <c r="N27" t="s">
        <v>46</v>
      </c>
      <c r="O27">
        <v>93</v>
      </c>
    </row>
    <row r="28" spans="2:18">
      <c r="B28" t="s">
        <v>61</v>
      </c>
      <c r="C28" s="1">
        <v>175000000</v>
      </c>
      <c r="D28" s="1">
        <v>21813358</v>
      </c>
      <c r="F28" t="s">
        <v>83</v>
      </c>
      <c r="G28" s="1">
        <v>848571828</v>
      </c>
      <c r="H28"/>
      <c r="I28" t="s">
        <v>53</v>
      </c>
      <c r="J28">
        <v>76</v>
      </c>
      <c r="K28">
        <v>84</v>
      </c>
      <c r="L28">
        <v>97</v>
      </c>
      <c r="N28" t="s">
        <v>41</v>
      </c>
      <c r="O28">
        <v>93</v>
      </c>
    </row>
    <row r="29" spans="2:18">
      <c r="B29" t="s">
        <v>36</v>
      </c>
      <c r="C29" s="1">
        <v>175000000</v>
      </c>
      <c r="D29" s="1">
        <v>735099082</v>
      </c>
      <c r="F29" t="s">
        <v>84</v>
      </c>
      <c r="G29" s="1">
        <v>828570889</v>
      </c>
      <c r="H29"/>
      <c r="I29" t="s">
        <v>61</v>
      </c>
      <c r="J29">
        <v>70</v>
      </c>
      <c r="K29">
        <v>83</v>
      </c>
      <c r="L29">
        <v>95</v>
      </c>
      <c r="N29" t="s">
        <v>24</v>
      </c>
      <c r="O29">
        <v>92</v>
      </c>
    </row>
    <row r="30" spans="2:18">
      <c r="B30" t="s">
        <v>35</v>
      </c>
      <c r="C30" s="1">
        <v>180000000</v>
      </c>
      <c r="D30" s="1">
        <v>521311860</v>
      </c>
      <c r="F30" t="s">
        <v>85</v>
      </c>
      <c r="G30" s="1">
        <v>839818845</v>
      </c>
      <c r="H30"/>
      <c r="I30" t="s">
        <v>36</v>
      </c>
      <c r="J30">
        <v>83</v>
      </c>
      <c r="K30">
        <v>88</v>
      </c>
      <c r="L30">
        <v>98</v>
      </c>
      <c r="N30" t="s">
        <v>26</v>
      </c>
      <c r="O30">
        <v>92</v>
      </c>
    </row>
    <row r="31" spans="2:18">
      <c r="B31" t="s">
        <v>75</v>
      </c>
      <c r="C31" s="1">
        <v>4351000000</v>
      </c>
      <c r="D31" s="1">
        <v>17042600936</v>
      </c>
      <c r="F31" t="s">
        <v>86</v>
      </c>
      <c r="G31" s="1">
        <v>543559607</v>
      </c>
      <c r="H31"/>
      <c r="I31" t="s">
        <v>35</v>
      </c>
      <c r="J31">
        <v>84</v>
      </c>
      <c r="K31">
        <v>95</v>
      </c>
      <c r="L31">
        <v>95</v>
      </c>
      <c r="N31" t="s">
        <v>18</v>
      </c>
      <c r="O31">
        <v>81</v>
      </c>
    </row>
    <row r="32" spans="2:18">
      <c r="F32" t="s">
        <v>87</v>
      </c>
      <c r="G32" s="1">
        <v>353983207</v>
      </c>
      <c r="H32"/>
      <c r="I32" t="s">
        <v>75</v>
      </c>
      <c r="J32">
        <v>2112</v>
      </c>
      <c r="K32">
        <v>2188</v>
      </c>
      <c r="L32">
        <v>2474</v>
      </c>
      <c r="N32" t="s">
        <v>75</v>
      </c>
      <c r="O32">
        <v>2811</v>
      </c>
    </row>
    <row r="33" spans="6:12">
      <c r="F33" t="s">
        <v>88</v>
      </c>
      <c r="G33" s="1">
        <v>359852396</v>
      </c>
    </row>
    <row r="34" spans="6:12">
      <c r="F34" t="s">
        <v>89</v>
      </c>
      <c r="G34" s="1">
        <v>866969703</v>
      </c>
    </row>
    <row r="35" spans="6:12">
      <c r="F35" t="s">
        <v>90</v>
      </c>
      <c r="G35" s="1">
        <v>560099082</v>
      </c>
      <c r="H35"/>
      <c r="I35" t="s">
        <v>16</v>
      </c>
      <c r="J35" t="s">
        <v>17</v>
      </c>
      <c r="K35" t="s">
        <v>91</v>
      </c>
      <c r="L35" t="s">
        <v>92</v>
      </c>
    </row>
    <row r="36" spans="6:12">
      <c r="F36" t="s">
        <v>93</v>
      </c>
      <c r="G36" s="1">
        <v>341311860</v>
      </c>
      <c r="H36"/>
      <c r="I36" t="s">
        <v>21</v>
      </c>
      <c r="K36">
        <v>994</v>
      </c>
      <c r="L36">
        <v>1051</v>
      </c>
    </row>
    <row r="37" spans="6:12">
      <c r="F37" t="s">
        <v>94</v>
      </c>
      <c r="G37" s="1">
        <v>473726085</v>
      </c>
      <c r="H37"/>
      <c r="J37" t="s">
        <v>22</v>
      </c>
      <c r="K37">
        <v>690</v>
      </c>
      <c r="L37">
        <v>737</v>
      </c>
    </row>
    <row r="38" spans="6:12">
      <c r="F38" t="s">
        <v>95</v>
      </c>
      <c r="G38" s="1">
        <v>341983149</v>
      </c>
      <c r="H38"/>
      <c r="J38" t="s">
        <v>25</v>
      </c>
      <c r="K38">
        <v>242</v>
      </c>
      <c r="L38">
        <v>257</v>
      </c>
    </row>
    <row r="39" spans="6:12">
      <c r="F39" t="s">
        <v>96</v>
      </c>
      <c r="G39" s="1">
        <v>539442092</v>
      </c>
      <c r="H39"/>
      <c r="J39" t="s">
        <v>40</v>
      </c>
      <c r="K39">
        <v>62</v>
      </c>
      <c r="L39">
        <v>57</v>
      </c>
    </row>
    <row r="40" spans="6:12">
      <c r="F40" t="s">
        <v>97</v>
      </c>
      <c r="G40" s="1">
        <v>777014978</v>
      </c>
      <c r="H40"/>
      <c r="I40" t="s">
        <v>32</v>
      </c>
      <c r="K40">
        <v>1118</v>
      </c>
      <c r="L40">
        <v>1137</v>
      </c>
    </row>
    <row r="41" spans="6:12">
      <c r="F41" t="s">
        <v>98</v>
      </c>
      <c r="G41" s="1">
        <v>413773250</v>
      </c>
      <c r="H41"/>
      <c r="J41" t="s">
        <v>22</v>
      </c>
      <c r="K41">
        <v>437</v>
      </c>
      <c r="L41">
        <v>437</v>
      </c>
    </row>
    <row r="42" spans="6:12">
      <c r="F42" t="s">
        <v>99</v>
      </c>
      <c r="G42" s="1">
        <v>421358276</v>
      </c>
      <c r="H42"/>
      <c r="J42" t="s">
        <v>25</v>
      </c>
      <c r="K42">
        <v>322</v>
      </c>
      <c r="L42">
        <v>339</v>
      </c>
    </row>
    <row r="43" spans="6:12">
      <c r="F43" t="s">
        <v>100</v>
      </c>
      <c r="G43" s="1">
        <v>243258859</v>
      </c>
      <c r="H43"/>
      <c r="J43" t="s">
        <v>40</v>
      </c>
      <c r="K43">
        <v>135</v>
      </c>
      <c r="L43">
        <v>124</v>
      </c>
    </row>
    <row r="44" spans="6:12">
      <c r="F44" t="s">
        <v>101</v>
      </c>
      <c r="G44" s="1">
        <v>364436586</v>
      </c>
      <c r="H44"/>
      <c r="J44" t="s">
        <v>57</v>
      </c>
      <c r="K44">
        <v>224</v>
      </c>
      <c r="L44">
        <v>237</v>
      </c>
    </row>
    <row r="45" spans="6:12">
      <c r="F45" t="s">
        <v>75</v>
      </c>
      <c r="G45" s="1">
        <v>12640488622</v>
      </c>
      <c r="H45"/>
      <c r="I45" t="s">
        <v>75</v>
      </c>
      <c r="K45">
        <v>2112</v>
      </c>
      <c r="L45">
        <v>2188</v>
      </c>
    </row>
  </sheetData>
  <pageMargins left="0.75" right="0.75" top="1" bottom="1" header="0.5" footer="0.5"/>
  <headerFooter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workbookViewId="0">
      <selection activeCell="J26" sqref="J26"/>
    </sheetView>
  </sheetViews>
  <sheetFormatPr defaultColWidth="9" defaultRowHeight="16.8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box_office</vt:lpstr>
      <vt:lpstr>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formula</cp:lastModifiedBy>
  <dcterms:created xsi:type="dcterms:W3CDTF">2026-05-31T22:12:00Z</dcterms:created>
  <dcterms:modified xsi:type="dcterms:W3CDTF">2026-06-02T11:27:04Z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1033-12.1.25880.25880</vt:lpwstr>
  </property>
  <property fmtid="{D5CDD505-2E9C-101B-9397-08002B2CF9AE}" pid="3" name="CalculationRule">
    <vt:i4>0</vt:i4>
  </property>
  <property fmtid="{D5CDD505-2E9C-101B-9397-08002B2CF9AE}" pid="4" name="ICV">
    <vt:lpwstr>0AB1F9EF6B93C84875201F6A77640F3E_43</vt:lpwstr>
  </property>
</Properties>
</file>